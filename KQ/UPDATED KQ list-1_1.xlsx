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github.com\payload-test\KQ\"/>
    </mc:Choice>
  </mc:AlternateContent>
  <xr:revisionPtr revIDLastSave="0" documentId="13_ncr:1_{F57FB32B-0E16-4C65-BC63-29F47E49E5D6}" xr6:coauthVersionLast="47" xr6:coauthVersionMax="47" xr10:uidLastSave="{00000000-0000-0000-0000-000000000000}"/>
  <bookViews>
    <workbookView xWindow="-120" yWindow="-120" windowWidth="38640" windowHeight="21240" firstSheet="1" activeTab="7" xr2:uid="{00000000-000D-0000-FFFF-FFFF00000000}"/>
  </bookViews>
  <sheets>
    <sheet name="Parents contact" sheetId="2" state="hidden" r:id="rId1"/>
    <sheet name="Explorers" sheetId="1" r:id="rId2"/>
    <sheet name="Voyagers" sheetId="3" r:id="rId3"/>
    <sheet name="Trailblazers" sheetId="4" r:id="rId4"/>
    <sheet name="Pathfinders" sheetId="5" r:id="rId5"/>
    <sheet name="Parents-Active" sheetId="6" r:id="rId6"/>
    <sheet name="Active-Path" sheetId="7" r:id="rId7"/>
    <sheet name="Active-Trail" sheetId="8" r:id="rId8"/>
    <sheet name="Active-Voya" sheetId="9" r:id="rId9"/>
    <sheet name="Active-Expl" sheetId="10" r:id="rId10"/>
  </sheets>
  <definedNames>
    <definedName name="_xlnm._FilterDatabase" localSheetId="6" hidden="1">'Active-Path'!$I$3:$U$59</definedName>
    <definedName name="ExternalData_1" localSheetId="0" hidden="1">'Parents contact'!$B$1:$H$131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8" l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37" i="7"/>
  <c r="A38" i="7"/>
  <c r="A39" i="7" s="1"/>
  <c r="A40" i="7" s="1"/>
  <c r="A31" i="7"/>
  <c r="A32" i="7" s="1"/>
  <c r="A12" i="7"/>
  <c r="A13" i="7"/>
  <c r="A14" i="7"/>
  <c r="A15" i="7"/>
  <c r="AA61" i="7"/>
  <c r="AB61" i="7"/>
  <c r="AC61" i="7"/>
  <c r="AD61" i="7"/>
  <c r="AA3" i="7"/>
  <c r="AB3" i="7" s="1"/>
  <c r="AC3" i="7" s="1"/>
  <c r="AD3" i="7" s="1"/>
  <c r="AA48" i="8"/>
  <c r="AB48" i="8"/>
  <c r="AC48" i="8"/>
  <c r="AD48" i="8"/>
  <c r="AB2" i="9"/>
  <c r="AC2" i="9"/>
  <c r="AD2" i="9"/>
  <c r="AA2" i="9"/>
  <c r="AA55" i="9"/>
  <c r="AB55" i="9"/>
  <c r="AC55" i="9"/>
  <c r="AD55" i="9"/>
  <c r="AE55" i="9"/>
  <c r="AF55" i="9"/>
  <c r="AA41" i="10"/>
  <c r="AB41" i="10"/>
  <c r="AC41" i="10"/>
  <c r="AD41" i="10"/>
  <c r="A14" i="9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W41" i="10"/>
  <c r="X41" i="10"/>
  <c r="Y41" i="10"/>
  <c r="Z41" i="10"/>
  <c r="V41" i="10"/>
  <c r="W55" i="9"/>
  <c r="X55" i="9"/>
  <c r="Y55" i="9"/>
  <c r="Z55" i="9"/>
  <c r="V55" i="9"/>
  <c r="W48" i="8"/>
  <c r="X48" i="8"/>
  <c r="Y48" i="8"/>
  <c r="Z48" i="8"/>
  <c r="V48" i="8"/>
  <c r="W61" i="7"/>
  <c r="X61" i="7"/>
  <c r="Y61" i="7"/>
  <c r="Z61" i="7"/>
  <c r="V61" i="7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P2" i="10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4" i="9"/>
  <c r="A5" i="9" s="1"/>
  <c r="A6" i="9" s="1"/>
  <c r="A7" i="9" s="1"/>
  <c r="A8" i="9" s="1"/>
  <c r="A9" i="9" s="1"/>
  <c r="A10" i="9" s="1"/>
  <c r="A11" i="9" s="1"/>
  <c r="A12" i="9" s="1"/>
  <c r="A13" i="9" s="1"/>
  <c r="P2" i="9"/>
  <c r="Q2" i="9" s="1"/>
  <c r="R2" i="9" s="1"/>
  <c r="S2" i="9" s="1"/>
  <c r="T2" i="9" s="1"/>
  <c r="U2" i="9" s="1"/>
  <c r="V2" i="9" s="1"/>
  <c r="W2" i="9" s="1"/>
  <c r="X2" i="9" s="1"/>
  <c r="Y2" i="9" s="1"/>
  <c r="Z2" i="9" s="1"/>
  <c r="A4" i="8"/>
  <c r="P2" i="8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T45" i="5"/>
  <c r="S4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BE3" i="5"/>
  <c r="BF3" i="5" s="1"/>
  <c r="BG3" i="5" s="1"/>
  <c r="BH3" i="5" s="1"/>
  <c r="BI3" i="5" s="1"/>
  <c r="BJ3" i="5" s="1"/>
  <c r="AU3" i="5"/>
  <c r="AV3" i="5" s="1"/>
  <c r="AW3" i="5" s="1"/>
  <c r="AT3" i="5"/>
  <c r="A43" i="4"/>
  <c r="A44" i="4" s="1"/>
  <c r="A45" i="4" s="1"/>
  <c r="A46" i="4" s="1"/>
  <c r="A47" i="4" s="1"/>
  <c r="A48" i="4" s="1"/>
  <c r="T33" i="4"/>
  <c r="S33" i="4"/>
  <c r="Q33" i="4"/>
  <c r="P33" i="4"/>
  <c r="O33" i="4"/>
  <c r="N33" i="4"/>
  <c r="M33" i="4"/>
  <c r="L33" i="4"/>
  <c r="K33" i="4"/>
  <c r="J33" i="4"/>
  <c r="I33" i="4"/>
  <c r="T24" i="4"/>
  <c r="S24" i="4"/>
  <c r="Q24" i="4"/>
  <c r="P24" i="4"/>
  <c r="O24" i="4"/>
  <c r="N24" i="4"/>
  <c r="M24" i="4"/>
  <c r="L24" i="4"/>
  <c r="K24" i="4"/>
  <c r="J24" i="4"/>
  <c r="I2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BE2" i="4"/>
  <c r="BF2" i="4" s="1"/>
  <c r="BG2" i="4" s="1"/>
  <c r="BH2" i="4" s="1"/>
  <c r="BI2" i="4" s="1"/>
  <c r="BJ2" i="4" s="1"/>
  <c r="AT2" i="4"/>
  <c r="AU2" i="4" s="1"/>
  <c r="AV2" i="4" s="1"/>
  <c r="AW2" i="4" s="1"/>
  <c r="A22" i="3"/>
  <c r="A23" i="3" s="1"/>
  <c r="A24" i="3" s="1"/>
  <c r="A25" i="3" s="1"/>
  <c r="A26" i="3" s="1"/>
  <c r="A27" i="3" s="1"/>
  <c r="A28" i="3" s="1"/>
  <c r="A29" i="3" s="1"/>
  <c r="A30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BE2" i="3"/>
  <c r="BF2" i="3" s="1"/>
  <c r="BG2" i="3" s="1"/>
  <c r="BH2" i="3" s="1"/>
  <c r="BI2" i="3" s="1"/>
  <c r="BJ2" i="3" s="1"/>
  <c r="AT2" i="3"/>
  <c r="AU2" i="3" s="1"/>
  <c r="AV2" i="3" s="1"/>
  <c r="AW2" i="3" s="1"/>
  <c r="J2" i="3"/>
  <c r="K2" i="3" s="1"/>
  <c r="L2" i="3" s="1"/>
  <c r="T24" i="1"/>
  <c r="S24" i="1"/>
  <c r="Q24" i="1"/>
  <c r="P24" i="1"/>
  <c r="O24" i="1"/>
  <c r="N24" i="1"/>
  <c r="M24" i="1"/>
  <c r="L24" i="1"/>
  <c r="K24" i="1"/>
  <c r="J24" i="1"/>
  <c r="I2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BE2" i="1"/>
  <c r="BF2" i="1" s="1"/>
  <c r="BG2" i="1" s="1"/>
  <c r="BH2" i="1" s="1"/>
  <c r="BI2" i="1" s="1"/>
  <c r="BJ2" i="1" s="1"/>
  <c r="AT2" i="1"/>
  <c r="AU2" i="1" s="1"/>
  <c r="AV2" i="1" s="1"/>
  <c r="AW2" i="1" s="1"/>
  <c r="J2" i="1"/>
  <c r="K2" i="1" s="1"/>
  <c r="L2" i="1" s="1"/>
  <c r="A5" i="7"/>
  <c r="A6" i="7" s="1"/>
  <c r="A7" i="7" s="1"/>
  <c r="A8" i="7" s="1"/>
  <c r="A9" i="7" s="1"/>
  <c r="A10" i="7" s="1"/>
  <c r="A11" i="7" s="1"/>
  <c r="A16" i="7" s="1"/>
  <c r="A17" i="7" s="1"/>
  <c r="A18" i="7" s="1"/>
  <c r="A19" i="7" s="1"/>
  <c r="A20" i="7" s="1"/>
  <c r="A21" i="7" s="1"/>
  <c r="P3" i="7"/>
  <c r="Q3" i="7" s="1"/>
  <c r="R3" i="7" s="1"/>
  <c r="S3" i="7" s="1"/>
  <c r="T3" i="7" s="1"/>
  <c r="U3" i="7" s="1"/>
  <c r="V3" i="7" s="1"/>
  <c r="W3" i="7" s="1"/>
  <c r="X3" i="7" s="1"/>
  <c r="Y3" i="7" s="1"/>
  <c r="Z3" i="7" s="1"/>
  <c r="A53" i="9" l="1"/>
  <c r="A22" i="7"/>
  <c r="A23" i="7" s="1"/>
  <c r="A24" i="7" s="1"/>
  <c r="A25" i="7" s="1"/>
  <c r="A26" i="7" s="1"/>
  <c r="A27" i="7" s="1"/>
  <c r="A28" i="7" s="1"/>
  <c r="A29" i="7" s="1"/>
  <c r="A30" i="7" s="1"/>
  <c r="A33" i="7" s="1"/>
  <c r="A34" i="7" s="1"/>
  <c r="A35" i="7" s="1"/>
  <c r="A36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34" i="4"/>
  <c r="A31" i="3"/>
  <c r="A25" i="5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21" i="8"/>
  <c r="A22" i="8" s="1"/>
  <c r="A23" i="8" s="1"/>
  <c r="A24" i="8" s="1"/>
  <c r="A25" i="8" s="1"/>
  <c r="A26" i="8" l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52" i="7"/>
  <c r="A53" i="7" s="1"/>
  <c r="A54" i="7" s="1"/>
  <c r="A55" i="7" s="1"/>
  <c r="A56" i="7" s="1"/>
  <c r="A57" i="7" s="1"/>
  <c r="A58" i="7" s="1"/>
  <c r="A59" i="7" s="1"/>
  <c r="A32" i="3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3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KidzQuest - November 10  - Check-Ins Report (1)" description="Connection to the 'KidzQuest - November 10  - Check-Ins Report (1)' query in the workbook." type="5" refreshedVersion="2" background="1" saveData="1">
    <dbPr connection="Provider=Microsoft.Mashup.OleDb.1;Data Source=$Workbook$;Location=&quot;KidzQuest - November 10  - Check-Ins Report (1)&quot;;Extended Properties=&quot;&quot;" command="SELECT * FROM [KidzQuest - November 10  - Check-Ins Report (1)]"/>
  </connection>
</connections>
</file>

<file path=xl/sharedStrings.xml><?xml version="1.0" encoding="utf-8"?>
<sst xmlns="http://schemas.openxmlformats.org/spreadsheetml/2006/main" count="5921" uniqueCount="789">
  <si>
    <t>Column1</t>
  </si>
  <si>
    <t>Column2</t>
  </si>
  <si>
    <t>Column3</t>
  </si>
  <si>
    <t>Column4</t>
  </si>
  <si>
    <t>Column5</t>
  </si>
  <si>
    <t>Column6</t>
  </si>
  <si>
    <t>Column8</t>
  </si>
  <si>
    <t>Column9</t>
  </si>
  <si>
    <t xml:space="preserve">Tomi </t>
  </si>
  <si>
    <t>tomi@hif.vn</t>
  </si>
  <si>
    <t>0777312249</t>
  </si>
  <si>
    <t>Explorers</t>
  </si>
  <si>
    <t>Luke Denness</t>
  </si>
  <si>
    <t>11denness@gmail.com</t>
  </si>
  <si>
    <t>0878348423</t>
  </si>
  <si>
    <t>Vu Tran</t>
  </si>
  <si>
    <t xml:space="preserve">
vunashley@gmail.com</t>
  </si>
  <si>
    <t xml:space="preserve">
0867 785 880</t>
  </si>
  <si>
    <t>Rahel Wuger</t>
  </si>
  <si>
    <t>rahelwu@psmail.com</t>
  </si>
  <si>
    <t>April Potot</t>
  </si>
  <si>
    <t xml:space="preserve">
april.potot@gmail.com</t>
  </si>
  <si>
    <t xml:space="preserve">
0769 143 379</t>
  </si>
  <si>
    <t>Mhatet Villezon</t>
  </si>
  <si>
    <t>mhatet_conqueror@yahoo.com.ph</t>
  </si>
  <si>
    <t xml:space="preserve">
0703 244 160</t>
  </si>
  <si>
    <t>Florence Ogola</t>
  </si>
  <si>
    <t>kanyidoto@yahoo.com</t>
  </si>
  <si>
    <t>0387972867</t>
  </si>
  <si>
    <t>Irina Kravchenko</t>
  </si>
  <si>
    <t xml:space="preserve">
irina941213@gmail.com</t>
  </si>
  <si>
    <t>0392 893 650</t>
  </si>
  <si>
    <t>Tim Middleton</t>
  </si>
  <si>
    <t>beingtimothy@gmail.com</t>
  </si>
  <si>
    <t>Bukola Oke</t>
  </si>
  <si>
    <t>kebukolah@gmail.com</t>
  </si>
  <si>
    <t>Johanna Manisto</t>
  </si>
  <si>
    <t>mailboxjohanna@gmail.com</t>
  </si>
  <si>
    <t>Hien</t>
  </si>
  <si>
    <t>hoanghiembm@gmail.com</t>
  </si>
  <si>
    <t>Kasey Brubaker</t>
  </si>
  <si>
    <t xml:space="preserve">
kaseyjo10@gmail.com</t>
  </si>
  <si>
    <t xml:space="preserve">
0869 960 625</t>
  </si>
  <si>
    <t xml:space="preserve">Isaiah Grey </t>
  </si>
  <si>
    <t xml:space="preserve">
isaiahgrey@gmail.com</t>
  </si>
  <si>
    <t xml:space="preserve">
0208 5976 466</t>
  </si>
  <si>
    <t>Giselle Henrique</t>
  </si>
  <si>
    <t xml:space="preserve">
henrique_giselle@yahoo.com.br</t>
  </si>
  <si>
    <t xml:space="preserve">
0867 440 712</t>
  </si>
  <si>
    <t>Eunique De armas</t>
  </si>
  <si>
    <t xml:space="preserve">
princesseunique31@gmail.com</t>
  </si>
  <si>
    <t xml:space="preserve">
0363 097 357</t>
  </si>
  <si>
    <t>Lena Zheng</t>
  </si>
  <si>
    <t>lena.zt03@gmail.com</t>
  </si>
  <si>
    <t xml:space="preserve">
0772 600 549</t>
  </si>
  <si>
    <t>Hillyer Smith</t>
  </si>
  <si>
    <t xml:space="preserve">
leadleyconsulting@gmail.com</t>
  </si>
  <si>
    <t xml:space="preserve">
0395 190 237</t>
  </si>
  <si>
    <t>Philip Zarres</t>
  </si>
  <si>
    <t xml:space="preserve">
philip.m.zarres@gmail.com</t>
  </si>
  <si>
    <t>+66 83 886 5038</t>
  </si>
  <si>
    <t>Jonathan McDaniel</t>
  </si>
  <si>
    <t xml:space="preserve">
jon.mcdaniel@concordiahanoi.org</t>
  </si>
  <si>
    <t>0334 202 882</t>
  </si>
  <si>
    <t>lldenness@gmail.com</t>
  </si>
  <si>
    <t>Zina Kim</t>
  </si>
  <si>
    <t>zinainjx@gmail.com</t>
  </si>
  <si>
    <t xml:space="preserve">
0335 459 704</t>
  </si>
  <si>
    <t>Veronica Custodio</t>
  </si>
  <si>
    <t xml:space="preserve">
vheroncustodio@gmail.com</t>
  </si>
  <si>
    <t xml:space="preserve">
0383 635 185</t>
  </si>
  <si>
    <t>Tiffany Hardegree</t>
  </si>
  <si>
    <t>tmhardegree@gmail.com</t>
  </si>
  <si>
    <t>0346051730</t>
  </si>
  <si>
    <t xml:space="preserve">Grace Brannon </t>
  </si>
  <si>
    <t>grace.brannon@gmail.com</t>
  </si>
  <si>
    <t>0358862482</t>
  </si>
  <si>
    <t>Inyene Udombat</t>
  </si>
  <si>
    <t xml:space="preserve">
inyeneudombat@gmail.com</t>
  </si>
  <si>
    <t xml:space="preserve">
0364 473 250</t>
  </si>
  <si>
    <t>Nickson Thambusamy</t>
  </si>
  <si>
    <t>tnickson111@gmail.com</t>
  </si>
  <si>
    <t xml:space="preserve">
0354 926 814</t>
  </si>
  <si>
    <t>Sung Chang Rhim</t>
  </si>
  <si>
    <t xml:space="preserve">
scrhim.kdbc@gmail.com</t>
  </si>
  <si>
    <t>0814 561 598</t>
  </si>
  <si>
    <t>Nguyen Hoang</t>
  </si>
  <si>
    <t xml:space="preserve">
danya.finnegan@gmail.com</t>
  </si>
  <si>
    <t>0946 399 366</t>
  </si>
  <si>
    <t>0867 785 880</t>
  </si>
  <si>
    <t>Voyagers</t>
  </si>
  <si>
    <t>Vũ Dũng</t>
  </si>
  <si>
    <t xml:space="preserve">
myanhclinic@gmail.com</t>
  </si>
  <si>
    <t xml:space="preserve">
0842 921 348</t>
  </si>
  <si>
    <t>Christine Tumwine</t>
  </si>
  <si>
    <t xml:space="preserve">
christinetumwine@gmail.com</t>
  </si>
  <si>
    <t xml:space="preserve">
0333 298 495</t>
  </si>
  <si>
    <t xml:space="preserve"> </t>
  </si>
  <si>
    <t>Tam</t>
  </si>
  <si>
    <t>tamkt0903@gmail.com</t>
  </si>
  <si>
    <t xml:space="preserve">
0947 127 544</t>
  </si>
  <si>
    <t>043 534 1916</t>
  </si>
  <si>
    <t>Tanya Tiemeyer</t>
  </si>
  <si>
    <t>tanya.tiemeyer@gmail.com</t>
  </si>
  <si>
    <t>0969517482</t>
  </si>
  <si>
    <t>Marife Loyola</t>
  </si>
  <si>
    <t>mafeployola79@gmail.com</t>
  </si>
  <si>
    <t>0988 746 619</t>
  </si>
  <si>
    <t xml:space="preserve">Abasiama Daniel </t>
  </si>
  <si>
    <t xml:space="preserve">
johnsonabasiama170@gmail.com</t>
  </si>
  <si>
    <t xml:space="preserve">
0393 290 120</t>
  </si>
  <si>
    <t>Tan Lee</t>
  </si>
  <si>
    <t xml:space="preserve">
letan711@gmail.com</t>
  </si>
  <si>
    <t xml:space="preserve"> 097 408 80 73</t>
  </si>
  <si>
    <t>Thuong Pham</t>
  </si>
  <si>
    <t xml:space="preserve">
thuongpham20152018@gmail.com</t>
  </si>
  <si>
    <t xml:space="preserve">
0389 905 704</t>
  </si>
  <si>
    <t>Vần Giàng</t>
  </si>
  <si>
    <t xml:space="preserve">
hoanghienbm@gmail.com</t>
  </si>
  <si>
    <t>091 395 71 73</t>
  </si>
  <si>
    <t>Joseph Pham</t>
  </si>
  <si>
    <t xml:space="preserve">
joseph.pnc@gmail.com</t>
  </si>
  <si>
    <t xml:space="preserve">
0984 317 851</t>
  </si>
  <si>
    <t>Huy Le</t>
  </si>
  <si>
    <t xml:space="preserve">
huyln.bk@gmail.com</t>
  </si>
  <si>
    <t>0989 901 988</t>
  </si>
  <si>
    <t>Jayrbe Apilan</t>
  </si>
  <si>
    <t xml:space="preserve">jayrbe_apilan@yahoo.com
</t>
  </si>
  <si>
    <t>0866 843 273</t>
  </si>
  <si>
    <t>Lihong Park</t>
  </si>
  <si>
    <t xml:space="preserve">
eera.park@gmail.com</t>
  </si>
  <si>
    <t>0823 416 299</t>
  </si>
  <si>
    <t>Alfred Natanael</t>
  </si>
  <si>
    <t xml:space="preserve">
alfred.christianto@gmail.com</t>
  </si>
  <si>
    <t xml:space="preserve">
0346 167 037</t>
  </si>
  <si>
    <t>Yvette Middleton</t>
  </si>
  <si>
    <t>yvette.huisamen@gmail.com</t>
  </si>
  <si>
    <t xml:space="preserve">
0793 094 792</t>
  </si>
  <si>
    <t xml:space="preserve">
0334 202 882</t>
  </si>
  <si>
    <t>Wayne Worrell</t>
  </si>
  <si>
    <t xml:space="preserve">
wayne_m_worrell@hotmail.com</t>
  </si>
  <si>
    <t>091 961 92 77</t>
  </si>
  <si>
    <t>Hung Bui</t>
  </si>
  <si>
    <t>hungbui.penn@gmail.com</t>
  </si>
  <si>
    <t xml:space="preserve">
0377 612 426</t>
  </si>
  <si>
    <t>Vinoth Jugunta</t>
  </si>
  <si>
    <t xml:space="preserve">
pinkn112@gmail.com</t>
  </si>
  <si>
    <t xml:space="preserve">
0916 226 559</t>
  </si>
  <si>
    <t xml:space="preserve">
lena.zt03@gmail.com</t>
  </si>
  <si>
    <t>Leslie King</t>
  </si>
  <si>
    <t xml:space="preserve">
leslie.king@concordiahanoi.org</t>
  </si>
  <si>
    <t xml:space="preserve">
0978 945 282</t>
  </si>
  <si>
    <t>Ruby Bui</t>
  </si>
  <si>
    <t xml:space="preserve">
ruby.bui.vn@gmail.com</t>
  </si>
  <si>
    <t xml:space="preserve">
0972 881 598</t>
  </si>
  <si>
    <t>Elizabeth Blatchley</t>
  </si>
  <si>
    <t xml:space="preserve">
elizabethblatchley@gmail.com</t>
  </si>
  <si>
    <t>0369 035 823</t>
  </si>
  <si>
    <t>David Chae</t>
  </si>
  <si>
    <t xml:space="preserve">
davidchae7@gmail.com</t>
  </si>
  <si>
    <t xml:space="preserve">
0869 613 314</t>
  </si>
  <si>
    <t>Hyoungsun Kim</t>
  </si>
  <si>
    <t xml:space="preserve">
epaphroditus70@gmail.com</t>
  </si>
  <si>
    <t xml:space="preserve">
0386 293 411</t>
  </si>
  <si>
    <t>Ernalyn Fausto</t>
  </si>
  <si>
    <t xml:space="preserve">
ernalynfausto@gmail.com</t>
  </si>
  <si>
    <t xml:space="preserve">
0902 285 873</t>
  </si>
  <si>
    <t>Anh Ngọc Nguyễn</t>
  </si>
  <si>
    <t xml:space="preserve">
nguyenanhngoc880402@gmail.com</t>
  </si>
  <si>
    <t xml:space="preserve"> 0377 026 356</t>
  </si>
  <si>
    <t>Naz Adams</t>
  </si>
  <si>
    <t xml:space="preserve">
naz.cairncross@gmail.com</t>
  </si>
  <si>
    <t>0379 859 456</t>
  </si>
  <si>
    <t>Elbern Bersales</t>
  </si>
  <si>
    <t xml:space="preserve">
elbernbersales@gmail.com</t>
  </si>
  <si>
    <t>0902 101 348</t>
  </si>
  <si>
    <t>Cee Jay</t>
  </si>
  <si>
    <t>princejay4014@gmail.com</t>
  </si>
  <si>
    <t>0966 194 000</t>
  </si>
  <si>
    <t xml:space="preserve">Thang Nguyen </t>
  </si>
  <si>
    <t>thangnv77@gmail.com</t>
  </si>
  <si>
    <t xml:space="preserve"> 0904 881 877</t>
  </si>
  <si>
    <t>Terri Pham</t>
  </si>
  <si>
    <t>715phamily@gmail.com</t>
  </si>
  <si>
    <t>Mhatet VIllezon</t>
  </si>
  <si>
    <t>Zivvillezon@gmail.com</t>
  </si>
  <si>
    <t>Taehoon Choi</t>
  </si>
  <si>
    <t xml:space="preserve">
ttaevv@naver.com</t>
  </si>
  <si>
    <t>0906 060 404</t>
  </si>
  <si>
    <t>letan711@gmail.com</t>
  </si>
  <si>
    <t xml:space="preserve">
097 408 80 73</t>
  </si>
  <si>
    <t>Trailblazers</t>
  </si>
  <si>
    <t>Thanh Xuân</t>
  </si>
  <si>
    <t xml:space="preserve">
tranthanhxuan83tmh@gmail.com</t>
  </si>
  <si>
    <t xml:space="preserve">
0936 655 115</t>
  </si>
  <si>
    <t xml:space="preserve">
rahelwu@psmail.com
</t>
  </si>
  <si>
    <t>Cao Van Lung</t>
  </si>
  <si>
    <t>caovanlungpeter@gmail.com</t>
  </si>
  <si>
    <t>thuongpham20152018@gmail.com</t>
  </si>
  <si>
    <t>Nguyễn Khánh Chi</t>
  </si>
  <si>
    <t>khanhchi0708@gmail.com</t>
  </si>
  <si>
    <t>982077882</t>
  </si>
  <si>
    <t xml:space="preserve">
0978 945 282
</t>
  </si>
  <si>
    <t xml:space="preserve">
0369 035 823</t>
  </si>
  <si>
    <t>Cholong Baek</t>
  </si>
  <si>
    <t xml:space="preserve">
7426408@naver.com</t>
  </si>
  <si>
    <t xml:space="preserve"> 0325 411 009</t>
  </si>
  <si>
    <t>Mary Rufo</t>
  </si>
  <si>
    <t xml:space="preserve">
mmparagas19@gmail.com</t>
  </si>
  <si>
    <t xml:space="preserve">
0348 903 602</t>
  </si>
  <si>
    <t>Elizabeth Kletzing</t>
  </si>
  <si>
    <t xml:space="preserve">
elizabeth.kletzing@gmail.com</t>
  </si>
  <si>
    <t xml:space="preserve">
0975 439 321</t>
  </si>
  <si>
    <t>Huong Bennett</t>
  </si>
  <si>
    <t xml:space="preserve">
huonghd85@gmail.com</t>
  </si>
  <si>
    <t xml:space="preserve">
0383 231 380</t>
  </si>
  <si>
    <t>Jenelle Lega</t>
  </si>
  <si>
    <t xml:space="preserve">
jillrxs@gmail.com</t>
  </si>
  <si>
    <t>0334005247</t>
  </si>
  <si>
    <t>Natsuho Yamanokawa</t>
  </si>
  <si>
    <t>quantity01701@gmail.com</t>
  </si>
  <si>
    <t>0385987672</t>
  </si>
  <si>
    <t>Marine Archer</t>
  </si>
  <si>
    <t xml:space="preserve">
marinejordaan@gmail.com</t>
  </si>
  <si>
    <t xml:space="preserve">
0886 188 682</t>
  </si>
  <si>
    <t>davidchae7@gmail.com</t>
  </si>
  <si>
    <t>Shirley Quinones</t>
  </si>
  <si>
    <t xml:space="preserve">
quinonesshirley35@gmail.com</t>
  </si>
  <si>
    <t>090 220 17 53</t>
  </si>
  <si>
    <t>Veronica  Soares</t>
  </si>
  <si>
    <t xml:space="preserve">
veronicaduarte61@gmail.com</t>
  </si>
  <si>
    <t xml:space="preserve">
0813 091 451</t>
  </si>
  <si>
    <t>Jonah Payad</t>
  </si>
  <si>
    <t xml:space="preserve">
jo.payad@gmail.com</t>
  </si>
  <si>
    <t xml:space="preserve">
0349 674 539</t>
  </si>
  <si>
    <t xml:space="preserve">Philip Tinker </t>
  </si>
  <si>
    <t>philip.tinker@gmail.com</t>
  </si>
  <si>
    <t>0808755276</t>
  </si>
  <si>
    <t>april.potot@gmail.com</t>
  </si>
  <si>
    <t>Ly Nguyễn</t>
  </si>
  <si>
    <t>lynguyen18.work@gmail.com</t>
  </si>
  <si>
    <t>0927 158 460</t>
  </si>
  <si>
    <t>Rosa Nguyen</t>
  </si>
  <si>
    <t xml:space="preserve">
tamkt0903@gmail.com</t>
  </si>
  <si>
    <t>Gia Rootman</t>
  </si>
  <si>
    <t xml:space="preserve">
pdsdancestudio@gmail.com</t>
  </si>
  <si>
    <t xml:space="preserve">
0869 303 577</t>
  </si>
  <si>
    <t>Ngoc Cuong Joseph Pham</t>
  </si>
  <si>
    <t>Judy Reyes</t>
  </si>
  <si>
    <t>vkpo.jtorres10@gmail.com</t>
  </si>
  <si>
    <t>0353 837 006</t>
  </si>
  <si>
    <t>Thanh Mai Trần</t>
  </si>
  <si>
    <t xml:space="preserve">
thanhmai1411@gmail.com</t>
  </si>
  <si>
    <t xml:space="preserve">
0905 141 128</t>
  </si>
  <si>
    <t>0389 905 704</t>
  </si>
  <si>
    <t xml:space="preserve">Pathfinders </t>
  </si>
  <si>
    <t xml:space="preserve">Ramon Sirait </t>
  </si>
  <si>
    <t>ramonsirait76@gmail.com</t>
  </si>
  <si>
    <t>0936094778</t>
  </si>
  <si>
    <t>Terry Chou</t>
  </si>
  <si>
    <t>terry090769@gmail.com</t>
  </si>
  <si>
    <t xml:space="preserve">
0915 572 004</t>
  </si>
  <si>
    <t>Regina Stevens</t>
  </si>
  <si>
    <t xml:space="preserve">ar_stevens@icloud.com
</t>
  </si>
  <si>
    <t>0348 055 084</t>
  </si>
  <si>
    <t>Lycah Macay</t>
  </si>
  <si>
    <t xml:space="preserve">
rglyca2003@gmail.com</t>
  </si>
  <si>
    <t>0969 279 373</t>
  </si>
  <si>
    <t>Pham Van Gioi</t>
  </si>
  <si>
    <t xml:space="preserve">
phamgioi.nd@gmail.com</t>
  </si>
  <si>
    <t>0948 878 282</t>
  </si>
  <si>
    <t>Jeong hyun Kim</t>
  </si>
  <si>
    <t>kimplus83@gmail.com</t>
  </si>
  <si>
    <t>0869 397 411</t>
  </si>
  <si>
    <t>Seung Wan Kim</t>
  </si>
  <si>
    <t>seungwan.kim@gmail.com</t>
  </si>
  <si>
    <t>0906 262 095</t>
  </si>
  <si>
    <t>Ronnil Lanaban</t>
  </si>
  <si>
    <t>nhelmer26@gmail.com</t>
  </si>
  <si>
    <t>0843 284 5391</t>
  </si>
  <si>
    <t>Tran Thanh Xuan</t>
  </si>
  <si>
    <t>tranthanhxuan83tmh@gmail.com</t>
  </si>
  <si>
    <t>0936 655 115</t>
  </si>
  <si>
    <t xml:space="preserve">
Kay Thi Khine</t>
  </si>
  <si>
    <t xml:space="preserve">
khine86@gmail.com</t>
  </si>
  <si>
    <t>0944 552 225</t>
  </si>
  <si>
    <t>Yvette Middle</t>
  </si>
  <si>
    <t>0793 094 792</t>
  </si>
  <si>
    <t>Oluwabukola Eso</t>
  </si>
  <si>
    <t>hollamydeella@gmail.com</t>
  </si>
  <si>
    <t xml:space="preserve">
0812 995 160</t>
  </si>
  <si>
    <t>Huyen Le</t>
  </si>
  <si>
    <t xml:space="preserve">
lethuyhuyen@gmail.com</t>
  </si>
  <si>
    <t xml:space="preserve">
0904 576 469</t>
  </si>
  <si>
    <t xml:space="preserve">Lihong Park </t>
  </si>
  <si>
    <t>eera.park@gmail.com</t>
  </si>
  <si>
    <t>Jeremy Thiessen</t>
  </si>
  <si>
    <t xml:space="preserve">
jeremycth@yahoo.ca</t>
  </si>
  <si>
    <t xml:space="preserve">
0896 641 793</t>
  </si>
  <si>
    <t xml:space="preserve">Alfred Natanael </t>
  </si>
  <si>
    <t>Que Anh Nhu</t>
  </si>
  <si>
    <t xml:space="preserve">
nhuqueanh@yahoo.com</t>
  </si>
  <si>
    <t xml:space="preserve">
0962 606 150</t>
  </si>
  <si>
    <t>Yaejin Lee</t>
  </si>
  <si>
    <t xml:space="preserve">
jj78.lee@samsung.com</t>
  </si>
  <si>
    <t xml:space="preserve">
0971 163 003</t>
  </si>
  <si>
    <t>Della Yu</t>
  </si>
  <si>
    <t xml:space="preserve">
dellanev@yahoo.com</t>
  </si>
  <si>
    <t>Kyoungsu Lee</t>
  </si>
  <si>
    <t xml:space="preserve">
qushin622@gmail.com</t>
  </si>
  <si>
    <t xml:space="preserve"> 0392 414 600</t>
  </si>
  <si>
    <t>marinejordaan@gmail.com</t>
  </si>
  <si>
    <t>Jason Lee</t>
  </si>
  <si>
    <t xml:space="preserve">
asyndeton2@gmail.com</t>
  </si>
  <si>
    <t>Jason Vu</t>
  </si>
  <si>
    <t xml:space="preserve">
Laura.jasonvu@hotmail.com</t>
  </si>
  <si>
    <t xml:space="preserve">
0904 031 143</t>
  </si>
  <si>
    <t>Rianna Mohammed-Roberts</t>
  </si>
  <si>
    <t xml:space="preserve">
r.mohammedroberts@gmail.com</t>
  </si>
  <si>
    <t xml:space="preserve">
0762 006 052</t>
  </si>
  <si>
    <t>Deborah Eiselstein</t>
  </si>
  <si>
    <t xml:space="preserve">
tazha1976@yahoo.com</t>
  </si>
  <si>
    <t>Ariella Yoteni</t>
  </si>
  <si>
    <t xml:space="preserve">
ariella.yoteni@gmail.com</t>
  </si>
  <si>
    <t>0904 685 786</t>
  </si>
  <si>
    <t>Hoàng Lan</t>
  </si>
  <si>
    <t>mshoanglan@gmail.com</t>
  </si>
  <si>
    <t xml:space="preserve"> 0943 038 686</t>
  </si>
  <si>
    <t>Caroline Kugler</t>
  </si>
  <si>
    <t>cmariekugler@gmail.com</t>
  </si>
  <si>
    <t>0969 022 750</t>
  </si>
  <si>
    <t xml:space="preserve">
Charmaine Kamakhaya</t>
  </si>
  <si>
    <t xml:space="preserve">
siphiwekm@gmail.com</t>
  </si>
  <si>
    <t xml:space="preserve">
+86 159 5047 5514</t>
  </si>
  <si>
    <t>Tayuka Ngo</t>
  </si>
  <si>
    <t>ttayuka@hotmail.com</t>
  </si>
  <si>
    <t>0985 126 736</t>
  </si>
  <si>
    <t>Trần My</t>
  </si>
  <si>
    <t xml:space="preserve">
myth5a09.hanu@gmail.com</t>
  </si>
  <si>
    <t xml:space="preserve">
0379 859 456</t>
  </si>
  <si>
    <t>Gwen Mendoza</t>
  </si>
  <si>
    <t xml:space="preserve">
teachergwenn@gmail.com</t>
  </si>
  <si>
    <t xml:space="preserve">
0787 617 411</t>
  </si>
  <si>
    <t>naz.cairncross@gmail.com</t>
  </si>
  <si>
    <t>Jemima Dung</t>
  </si>
  <si>
    <t xml:space="preserve">
jemimadung@gmail.com</t>
  </si>
  <si>
    <t>0762 230 809</t>
  </si>
  <si>
    <t>Vu Bach Lien</t>
  </si>
  <si>
    <t>vubachlien@gmail.com</t>
  </si>
  <si>
    <t>Thuy Nguyen</t>
  </si>
  <si>
    <t xml:space="preserve">
xhoneystarx@gmail.com</t>
  </si>
  <si>
    <t>0939 671 989</t>
  </si>
  <si>
    <t>Shane Saw</t>
  </si>
  <si>
    <t xml:space="preserve">
sawshn@gmail.com</t>
  </si>
  <si>
    <t>0838 926 327</t>
  </si>
  <si>
    <t>Explorers  3 - 4 Years Old</t>
  </si>
  <si>
    <t>No</t>
  </si>
  <si>
    <t>First Name</t>
  </si>
  <si>
    <t>Last Name</t>
  </si>
  <si>
    <t>Gender</t>
  </si>
  <si>
    <t>Primary Contact Name</t>
  </si>
  <si>
    <t xml:space="preserve">Email </t>
  </si>
  <si>
    <t>Contact #</t>
  </si>
  <si>
    <t>Location</t>
  </si>
  <si>
    <t xml:space="preserve">        7-Dce</t>
  </si>
  <si>
    <t>Akin</t>
  </si>
  <si>
    <t>Ogunbawo</t>
  </si>
  <si>
    <t>Male</t>
  </si>
  <si>
    <t>yes</t>
  </si>
  <si>
    <t xml:space="preserve">yes </t>
  </si>
  <si>
    <t>YES</t>
  </si>
  <si>
    <t xml:space="preserve">Clara </t>
  </si>
  <si>
    <t>Denness</t>
  </si>
  <si>
    <t>Female</t>
  </si>
  <si>
    <t>Isaiah</t>
  </si>
  <si>
    <t>Tran</t>
  </si>
  <si>
    <t>Salome</t>
  </si>
  <si>
    <t>Wuger</t>
  </si>
  <si>
    <t xml:space="preserve">Female </t>
  </si>
  <si>
    <t>Zekiah</t>
  </si>
  <si>
    <t>Potot</t>
  </si>
  <si>
    <t>Zak</t>
  </si>
  <si>
    <t>Villezon</t>
  </si>
  <si>
    <t>Ephrain</t>
  </si>
  <si>
    <t>Ogola</t>
  </si>
  <si>
    <t>Elie</t>
  </si>
  <si>
    <t>Cha</t>
  </si>
  <si>
    <t>Keli</t>
  </si>
  <si>
    <t>Middleton</t>
  </si>
  <si>
    <t>Petra</t>
  </si>
  <si>
    <t>Udoh</t>
  </si>
  <si>
    <t>Emmi</t>
  </si>
  <si>
    <t xml:space="preserve">Manisto </t>
  </si>
  <si>
    <t>Thien An</t>
  </si>
  <si>
    <t>Giang</t>
  </si>
  <si>
    <t>Micah</t>
  </si>
  <si>
    <t xml:space="preserve">Brubaker </t>
  </si>
  <si>
    <t>Noah</t>
  </si>
  <si>
    <t>Grey</t>
  </si>
  <si>
    <t>Athos</t>
  </si>
  <si>
    <t>Machado</t>
  </si>
  <si>
    <t>Skye</t>
  </si>
  <si>
    <t xml:space="preserve">de Armas </t>
  </si>
  <si>
    <t>Zheng</t>
  </si>
  <si>
    <t xml:space="preserve">Male </t>
  </si>
  <si>
    <t xml:space="preserve">Leo </t>
  </si>
  <si>
    <t>Cornielle</t>
  </si>
  <si>
    <t>Smith</t>
  </si>
  <si>
    <t>Emily</t>
  </si>
  <si>
    <t>Zarres</t>
  </si>
  <si>
    <t xml:space="preserve">Elijah </t>
  </si>
  <si>
    <t>McDaniel</t>
  </si>
  <si>
    <t xml:space="preserve">Hanju </t>
  </si>
  <si>
    <t>Lee</t>
  </si>
  <si>
    <t>Custodio</t>
  </si>
  <si>
    <t>Olivia</t>
  </si>
  <si>
    <t>Hardegree</t>
  </si>
  <si>
    <t xml:space="preserve">Faith </t>
  </si>
  <si>
    <t xml:space="preserve">Brannon </t>
  </si>
  <si>
    <t>Joanna</t>
  </si>
  <si>
    <t>Udombat</t>
  </si>
  <si>
    <t xml:space="preserve">Ziona </t>
  </si>
  <si>
    <t>Genelyn</t>
  </si>
  <si>
    <t>Sutter</t>
  </si>
  <si>
    <t>Kyuone</t>
  </si>
  <si>
    <t>Rhim</t>
  </si>
  <si>
    <t>Kyuha</t>
  </si>
  <si>
    <t>Ann</t>
  </si>
  <si>
    <t>Vu</t>
  </si>
  <si>
    <t>Stara Nie</t>
  </si>
  <si>
    <t>niexin19861224@gmail.com</t>
  </si>
  <si>
    <t>0967 658 787</t>
  </si>
  <si>
    <t>Percy</t>
  </si>
  <si>
    <t>Keokemoer</t>
  </si>
  <si>
    <t>Melissa Koekemoer</t>
  </si>
  <si>
    <t xml:space="preserve">melissakmr@icloud.com
</t>
  </si>
  <si>
    <t xml:space="preserve">
0941 296 098</t>
  </si>
  <si>
    <t>Samira</t>
  </si>
  <si>
    <t>Lisah</t>
  </si>
  <si>
    <t xml:space="preserve">Moon Vy </t>
  </si>
  <si>
    <t>Jana</t>
  </si>
  <si>
    <t>Esparar</t>
  </si>
  <si>
    <t>Jamil Esparar</t>
  </si>
  <si>
    <t xml:space="preserve">
jamilesparar29@gmail.com</t>
  </si>
  <si>
    <t xml:space="preserve">
0344 143 893</t>
  </si>
  <si>
    <t>William</t>
  </si>
  <si>
    <t>Sutherland</t>
  </si>
  <si>
    <t>Ashlee Jane Sutherland</t>
  </si>
  <si>
    <t xml:space="preserve">
ashleejbarnett19@gmail.com</t>
  </si>
  <si>
    <t xml:space="preserve">
0896 497 259</t>
  </si>
  <si>
    <t>Hannah</t>
  </si>
  <si>
    <t>Shepherd</t>
  </si>
  <si>
    <t>Athena</t>
  </si>
  <si>
    <t>Voyagers 5-6 YEARS OLD</t>
  </si>
  <si>
    <t>Josiah</t>
  </si>
  <si>
    <t xml:space="preserve">  yes </t>
  </si>
  <si>
    <t>Matthew</t>
  </si>
  <si>
    <t>Vu Duy</t>
  </si>
  <si>
    <t>Alma</t>
  </si>
  <si>
    <t>Tumwine</t>
  </si>
  <si>
    <t xml:space="preserve"> yes</t>
  </si>
  <si>
    <t>Kenny</t>
  </si>
  <si>
    <t>Nguyen</t>
  </si>
  <si>
    <t xml:space="preserve">Alyssa </t>
  </si>
  <si>
    <t>Solomon</t>
  </si>
  <si>
    <t>Tiemeyer</t>
  </si>
  <si>
    <t>Anastasia</t>
  </si>
  <si>
    <t>Jaja</t>
  </si>
  <si>
    <t>Loyola</t>
  </si>
  <si>
    <t>Cherry</t>
  </si>
  <si>
    <t>Leo</t>
  </si>
  <si>
    <t>Le</t>
  </si>
  <si>
    <t>Thiện Nhân</t>
  </si>
  <si>
    <t>Giàng</t>
  </si>
  <si>
    <t>Gabriel</t>
  </si>
  <si>
    <t>Pham</t>
  </si>
  <si>
    <t xml:space="preserve">Minh </t>
  </si>
  <si>
    <t>Elianna</t>
  </si>
  <si>
    <t>Apilan</t>
  </si>
  <si>
    <t>Chanyoung (Chan)</t>
  </si>
  <si>
    <t>Park</t>
  </si>
  <si>
    <t>Kayden</t>
  </si>
  <si>
    <t>Natanael</t>
  </si>
  <si>
    <t xml:space="preserve">Everly </t>
  </si>
  <si>
    <t>Elijah</t>
  </si>
  <si>
    <t>Dante</t>
  </si>
  <si>
    <t>Liam</t>
  </si>
  <si>
    <t>Worrell</t>
  </si>
  <si>
    <t>Abigail</t>
  </si>
  <si>
    <t>Bui</t>
  </si>
  <si>
    <t xml:space="preserve">Sophia </t>
  </si>
  <si>
    <t>Jugunta</t>
  </si>
  <si>
    <t xml:space="preserve">Matthew </t>
  </si>
  <si>
    <t xml:space="preserve">Weston </t>
  </si>
  <si>
    <t>King</t>
  </si>
  <si>
    <t>Mickey</t>
  </si>
  <si>
    <t>Ngo</t>
  </si>
  <si>
    <t>Ella</t>
  </si>
  <si>
    <t xml:space="preserve">Blatchley </t>
  </si>
  <si>
    <t xml:space="preserve">Theo </t>
  </si>
  <si>
    <t>Chae</t>
  </si>
  <si>
    <t>Hyeim</t>
  </si>
  <si>
    <t>Kim</t>
  </si>
  <si>
    <t xml:space="preserve">Yesha </t>
  </si>
  <si>
    <t>Fausto</t>
  </si>
  <si>
    <t xml:space="preserve">Bảo Anh  </t>
  </si>
  <si>
    <t>Okello</t>
  </si>
  <si>
    <t>nguyenanhngoc880402@gmail.com</t>
  </si>
  <si>
    <t>Adam</t>
  </si>
  <si>
    <t>Adams</t>
  </si>
  <si>
    <t>Marc</t>
  </si>
  <si>
    <t>Bersales</t>
  </si>
  <si>
    <t xml:space="preserve">Leola Ly </t>
  </si>
  <si>
    <t>Igbokoyi</t>
  </si>
  <si>
    <t xml:space="preserve">Nhi </t>
  </si>
  <si>
    <t>Mei Linh</t>
  </si>
  <si>
    <t>Ziv</t>
  </si>
  <si>
    <t xml:space="preserve">Viillezon </t>
  </si>
  <si>
    <t>Yao</t>
  </si>
  <si>
    <t>Zoe</t>
  </si>
  <si>
    <t>Yubeen</t>
  </si>
  <si>
    <t>Choi</t>
  </si>
  <si>
    <t>John</t>
  </si>
  <si>
    <t>Piper</t>
  </si>
  <si>
    <t xml:space="preserve">Sam </t>
  </si>
  <si>
    <t>Suri</t>
  </si>
  <si>
    <t>Lara</t>
  </si>
  <si>
    <t>Savah</t>
  </si>
  <si>
    <t>Khoa</t>
  </si>
  <si>
    <t>Nguyen Thi Hang</t>
  </si>
  <si>
    <t>nguyenhang15071987@gmail.com</t>
  </si>
  <si>
    <t xml:space="preserve">
0395 637 467</t>
  </si>
  <si>
    <t>An Nhiên</t>
  </si>
  <si>
    <t>Ngô</t>
  </si>
  <si>
    <t>Tùng Ngô</t>
  </si>
  <si>
    <t xml:space="preserve">
salomonsonghong@gmail.com</t>
  </si>
  <si>
    <t>0967 548 683</t>
  </si>
  <si>
    <t>Phong</t>
  </si>
  <si>
    <t xml:space="preserve">Bách </t>
  </si>
  <si>
    <t>Nguyễn</t>
  </si>
  <si>
    <t xml:space="preserve">Esther </t>
  </si>
  <si>
    <t>Lakhavani</t>
  </si>
  <si>
    <t>Kumar Lakhavani</t>
  </si>
  <si>
    <t xml:space="preserve">
lakhavanink@aol.com
</t>
  </si>
  <si>
    <t xml:space="preserve">
0972 576 446</t>
  </si>
  <si>
    <t>Luke</t>
  </si>
  <si>
    <t>Lexi</t>
  </si>
  <si>
    <t>Jonathan</t>
  </si>
  <si>
    <t>Hall</t>
  </si>
  <si>
    <t>Matthew Hall</t>
  </si>
  <si>
    <t xml:space="preserve">
mattwhall@outlook.com</t>
  </si>
  <si>
    <t>Son</t>
  </si>
  <si>
    <t>Felicity</t>
  </si>
  <si>
    <t>Dang  Khoa</t>
  </si>
  <si>
    <t>Jasmine</t>
  </si>
  <si>
    <t>Traiblazers 7-8 years old</t>
  </si>
  <si>
    <t>6-Jul</t>
  </si>
  <si>
    <t>13-Jul</t>
  </si>
  <si>
    <t>20-Jul</t>
  </si>
  <si>
    <t>27-Jul</t>
  </si>
  <si>
    <t>3-Aug</t>
  </si>
  <si>
    <t>17-Aug</t>
  </si>
  <si>
    <t>24-Aug</t>
  </si>
  <si>
    <t>31-Aug</t>
  </si>
  <si>
    <t>7-Sep</t>
  </si>
  <si>
    <t>14-Sep</t>
  </si>
  <si>
    <t>21-Sep</t>
  </si>
  <si>
    <t>28-Sep</t>
  </si>
  <si>
    <t>5-Oct</t>
  </si>
  <si>
    <t>12-Oct</t>
  </si>
  <si>
    <t>19-Oct</t>
  </si>
  <si>
    <t>26-Oct</t>
  </si>
  <si>
    <t>2-Nov</t>
  </si>
  <si>
    <t>9-Nov</t>
  </si>
  <si>
    <t>16-Nov</t>
  </si>
  <si>
    <t>23-Nov</t>
  </si>
  <si>
    <t>Anna</t>
  </si>
  <si>
    <t>Juliet</t>
  </si>
  <si>
    <t>Trần</t>
  </si>
  <si>
    <t>Manuela</t>
  </si>
  <si>
    <t>Nhat Anh</t>
  </si>
  <si>
    <t>Cao</t>
  </si>
  <si>
    <t>Otto</t>
  </si>
  <si>
    <t>Hải Anh</t>
  </si>
  <si>
    <t>Đặng</t>
  </si>
  <si>
    <t>Weston</t>
  </si>
  <si>
    <t>Blatchley</t>
  </si>
  <si>
    <t>Yesha</t>
  </si>
  <si>
    <t xml:space="preserve">Jenny </t>
  </si>
  <si>
    <t xml:space="preserve">Yeo </t>
  </si>
  <si>
    <t>Margaux</t>
  </si>
  <si>
    <t>Rufo</t>
  </si>
  <si>
    <t>Asher</t>
  </si>
  <si>
    <t>Edric (Eggsy)</t>
  </si>
  <si>
    <t>Rosemary (Rosie)</t>
  </si>
  <si>
    <t>Kletzing</t>
  </si>
  <si>
    <t xml:space="preserve">Isaac </t>
  </si>
  <si>
    <t>Bennett</t>
  </si>
  <si>
    <t>Raffa Sofiya</t>
  </si>
  <si>
    <t>Lega</t>
  </si>
  <si>
    <t>Masaaki (Aki)</t>
  </si>
  <si>
    <t>Yamanokawa</t>
  </si>
  <si>
    <t>Emme</t>
  </si>
  <si>
    <t>Archer</t>
  </si>
  <si>
    <t>Lucas</t>
  </si>
  <si>
    <t>Sveinn</t>
  </si>
  <si>
    <t>Quinones</t>
  </si>
  <si>
    <t>Larissa</t>
  </si>
  <si>
    <t>Soares</t>
  </si>
  <si>
    <t>Zane</t>
  </si>
  <si>
    <t>Payad</t>
  </si>
  <si>
    <t>Lydia</t>
  </si>
  <si>
    <t>Tinker</t>
  </si>
  <si>
    <t>Zachary</t>
  </si>
  <si>
    <t>Win</t>
  </si>
  <si>
    <t xml:space="preserve">Kenny </t>
  </si>
  <si>
    <t>Daniella</t>
  </si>
  <si>
    <t xml:space="preserve">Liam </t>
  </si>
  <si>
    <t xml:space="preserve">Reyes </t>
  </si>
  <si>
    <t>Seoju</t>
  </si>
  <si>
    <t>Enzo</t>
  </si>
  <si>
    <t>Hạnh Nhân</t>
  </si>
  <si>
    <t>London</t>
  </si>
  <si>
    <t>Joshua</t>
  </si>
  <si>
    <t>Patterson</t>
  </si>
  <si>
    <t>Martin Patterson</t>
  </si>
  <si>
    <t xml:space="preserve">
martinp1987@live.co.uk</t>
  </si>
  <si>
    <t xml:space="preserve">
781 591 6960
</t>
  </si>
  <si>
    <t>Geleynse</t>
  </si>
  <si>
    <t xml:space="preserve">Alex Geleynse </t>
  </si>
  <si>
    <t xml:space="preserve">
alexbritgel@gmail.com</t>
  </si>
  <si>
    <t>0941 581 323</t>
  </si>
  <si>
    <t xml:space="preserve">Miracle </t>
  </si>
  <si>
    <t>Daniel</t>
  </si>
  <si>
    <t xml:space="preserve">McDaniel </t>
  </si>
  <si>
    <t>Garcia</t>
  </si>
  <si>
    <t>Selah</t>
  </si>
  <si>
    <t>Lien</t>
  </si>
  <si>
    <t>Lion</t>
  </si>
  <si>
    <t>Hayu</t>
  </si>
  <si>
    <t>PATHFINDERS 9-11 YEARS OLD</t>
  </si>
  <si>
    <t>14-Dce</t>
  </si>
  <si>
    <t xml:space="preserve">Alice </t>
  </si>
  <si>
    <t xml:space="preserve">YES </t>
  </si>
  <si>
    <t xml:space="preserve">Alvaro </t>
  </si>
  <si>
    <t>Sirait</t>
  </si>
  <si>
    <t>Amy Mai</t>
  </si>
  <si>
    <t>Chou</t>
  </si>
  <si>
    <t>Areli</t>
  </si>
  <si>
    <t>Stevens</t>
  </si>
  <si>
    <t xml:space="preserve">Kris Vincent Isidore </t>
  </si>
  <si>
    <t>Macay</t>
  </si>
  <si>
    <t>Prince</t>
  </si>
  <si>
    <t>Lanaban</t>
  </si>
  <si>
    <t>Sarah</t>
  </si>
  <si>
    <t>Quyen</t>
  </si>
  <si>
    <t>Yekang</t>
  </si>
  <si>
    <t>Yonjoo</t>
  </si>
  <si>
    <t>Julia</t>
  </si>
  <si>
    <t>Michelle</t>
  </si>
  <si>
    <t>Katherine</t>
  </si>
  <si>
    <t>Isaac</t>
  </si>
  <si>
    <t xml:space="preserve">Emma </t>
  </si>
  <si>
    <t>Eso</t>
  </si>
  <si>
    <t xml:space="preserve">Hayley </t>
  </si>
  <si>
    <t>Keller</t>
  </si>
  <si>
    <t>Gaeun</t>
  </si>
  <si>
    <t>Levi</t>
  </si>
  <si>
    <t>Thiessen</t>
  </si>
  <si>
    <t>Samuel (Sami)</t>
  </si>
  <si>
    <t xml:space="preserve">Kaitlyn </t>
  </si>
  <si>
    <t>Alethea</t>
  </si>
  <si>
    <t>Scandrett</t>
  </si>
  <si>
    <t>Rane</t>
  </si>
  <si>
    <t>Yujin</t>
  </si>
  <si>
    <t>Lim</t>
  </si>
  <si>
    <t>Jian</t>
  </si>
  <si>
    <t>Mine</t>
  </si>
  <si>
    <t>Charisse</t>
  </si>
  <si>
    <t>Jacob</t>
  </si>
  <si>
    <t xml:space="preserve">Cora </t>
  </si>
  <si>
    <t>Zara</t>
  </si>
  <si>
    <t>Roberts</t>
  </si>
  <si>
    <t>Nicholas</t>
  </si>
  <si>
    <t>Antony</t>
  </si>
  <si>
    <t>Evan</t>
  </si>
  <si>
    <t>Eiselstein</t>
  </si>
  <si>
    <t>Yes</t>
  </si>
  <si>
    <t>Jade</t>
  </si>
  <si>
    <t>Angela</t>
  </si>
  <si>
    <t>Yoteni</t>
  </si>
  <si>
    <t>Hoàng Anh</t>
  </si>
  <si>
    <t>Hoàng Minh</t>
  </si>
  <si>
    <t>Caspian</t>
  </si>
  <si>
    <t>Kugler</t>
  </si>
  <si>
    <t>Wolf</t>
  </si>
  <si>
    <t>Lopez</t>
  </si>
  <si>
    <t>Kamakhaya</t>
  </si>
  <si>
    <t>Isaki</t>
  </si>
  <si>
    <t>Zeal</t>
  </si>
  <si>
    <t xml:space="preserve">Rosie </t>
  </si>
  <si>
    <t xml:space="preserve">Tinker </t>
  </si>
  <si>
    <t xml:space="preserve">Eliana </t>
  </si>
  <si>
    <t>Huyền Anh</t>
  </si>
  <si>
    <t>Summer</t>
  </si>
  <si>
    <t xml:space="preserve"> Mendoza</t>
  </si>
  <si>
    <t>Feamle</t>
  </si>
  <si>
    <t>Keziah</t>
  </si>
  <si>
    <t>Johnson</t>
  </si>
  <si>
    <t>Eric Johnson</t>
  </si>
  <si>
    <t xml:space="preserve">
Ndjamena2001@protonmail.com</t>
  </si>
  <si>
    <t xml:space="preserve">
0363 331 892</t>
  </si>
  <si>
    <t>Blake</t>
  </si>
  <si>
    <t xml:space="preserve">Kuy Yang  </t>
  </si>
  <si>
    <t>Khim</t>
  </si>
  <si>
    <t>Sunny</t>
  </si>
  <si>
    <t>Sam</t>
  </si>
  <si>
    <t>Kien</t>
  </si>
  <si>
    <t>Do</t>
  </si>
  <si>
    <t>Sean</t>
  </si>
  <si>
    <t>Saw</t>
  </si>
  <si>
    <t>Misha</t>
  </si>
  <si>
    <t>Lucy</t>
  </si>
  <si>
    <t>Quynh</t>
  </si>
  <si>
    <t>Bin</t>
  </si>
  <si>
    <t>Hang Nguyen</t>
  </si>
  <si>
    <t>nguyenhang150787@gmail.com</t>
  </si>
  <si>
    <t>0395637467</t>
  </si>
  <si>
    <t>0781 591 6960</t>
  </si>
  <si>
    <t>Jona</t>
  </si>
  <si>
    <t>Damaske</t>
  </si>
  <si>
    <t>Jens Damaske</t>
  </si>
  <si>
    <t>Elia</t>
  </si>
  <si>
    <t>Geleinse</t>
  </si>
  <si>
    <t>Alex Geleinse</t>
  </si>
  <si>
    <t>Caleb</t>
  </si>
  <si>
    <t>Ariel</t>
  </si>
  <si>
    <t>Mai</t>
  </si>
  <si>
    <t>Vinh</t>
  </si>
  <si>
    <t>Hajun</t>
  </si>
  <si>
    <t>David</t>
  </si>
  <si>
    <t>Ramirez</t>
  </si>
  <si>
    <t>KIDZQUEST PARENTS' MAILING LIST AS OF  31 MARCH 2026</t>
  </si>
  <si>
    <t>PATHFINDERS, 9-11 YEARS OLD</t>
  </si>
  <si>
    <t>TRAILBLAZERS 7-8 YEARS OLD</t>
  </si>
  <si>
    <t>VOYAGERS 5-6 YEARS OLD</t>
  </si>
  <si>
    <t>EXPLORERS 3-4 YEARS OLD</t>
  </si>
  <si>
    <t>Corban</t>
  </si>
  <si>
    <t>ar_stevens@icloud.com</t>
  </si>
  <si>
    <t xml:space="preserve"> 0348 055 054</t>
  </si>
  <si>
    <t>Dee Eiselstein</t>
  </si>
  <si>
    <t>Dash</t>
  </si>
  <si>
    <t xml:space="preserve"> 0348 055 084</t>
  </si>
  <si>
    <t>Vi Tri</t>
  </si>
  <si>
    <t>Ezekiel</t>
  </si>
  <si>
    <t>Leon</t>
  </si>
  <si>
    <t>T. Adel</t>
  </si>
  <si>
    <t>Tehillah</t>
  </si>
  <si>
    <t>Wright</t>
  </si>
  <si>
    <t>Ilias</t>
  </si>
  <si>
    <t>Sammy</t>
  </si>
  <si>
    <t>Victory</t>
  </si>
  <si>
    <t>Hanju</t>
  </si>
  <si>
    <t xml:space="preserve"> 0335 459 704</t>
  </si>
  <si>
    <t>Yoona</t>
  </si>
  <si>
    <t>henrique_giselle@yahoo.com.br</t>
  </si>
  <si>
    <t>0867 440 712</t>
  </si>
  <si>
    <t>Moses</t>
  </si>
  <si>
    <t>vunashley@gmail.com</t>
  </si>
  <si>
    <t>Ashley Tran</t>
  </si>
  <si>
    <t>0398 954 451</t>
  </si>
  <si>
    <t>Mari</t>
  </si>
  <si>
    <t>Symmonds</t>
  </si>
  <si>
    <t>Ziona</t>
  </si>
  <si>
    <t>Kua</t>
  </si>
  <si>
    <t>Ka</t>
  </si>
  <si>
    <t>zivvillezon@gmail.com</t>
  </si>
  <si>
    <t>AC</t>
  </si>
  <si>
    <t>wrightjcandice@gmail.com</t>
  </si>
  <si>
    <t>0396 007 750</t>
  </si>
  <si>
    <t>Candice Wright</t>
  </si>
  <si>
    <t xml:space="preserve">Samuel </t>
  </si>
  <si>
    <t>Sheldon</t>
  </si>
  <si>
    <t>Sophie</t>
  </si>
  <si>
    <t>Tram</t>
  </si>
  <si>
    <t>Luthando</t>
  </si>
  <si>
    <t>Leora</t>
  </si>
  <si>
    <t>Chien Y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</si>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</sst>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5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sz val="16"/>
      <color theme="1"/>
      <name val="Aptos Display"/>
      <family val="2"/>
      <scheme val="major"/>
    </font>
    <font>
      <u/>
      <sz val="16"/>
      <color theme="10"/>
      <name val="Aptos Display"/>
      <family val="2"/>
      <scheme val="major"/>
    </font>
    <font>
      <sz val="16"/>
      <name val="Aptos Display"/>
      <family val="2"/>
      <scheme val="major"/>
    </font>
    <font>
      <sz val="16"/>
      <color rgb="FF1F1F1F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sz val="16"/>
      <color rgb="FF000000"/>
      <name val="Aptos Display"/>
      <family val="2"/>
      <scheme val="major"/>
    </font>
    <font>
      <sz val="16"/>
      <color rgb="FF6B6B6B"/>
      <name val="Aptos Display"/>
      <family val="2"/>
      <scheme val="major"/>
    </font>
    <font>
      <u/>
      <sz val="16"/>
      <name val="Aptos Display"/>
      <family val="2"/>
      <scheme val="major"/>
    </font>
    <font>
      <b/>
      <sz val="22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6"/>
      <color theme="1"/>
      <name val="Aptos Display"/>
      <family val="2"/>
      <scheme val="major"/>
    </font>
    <font>
      <u/>
      <sz val="16"/>
      <color theme="10"/>
      <name val="Aptos Narrow"/>
      <family val="2"/>
      <scheme val="minor"/>
    </font>
    <font>
      <u/>
      <sz val="16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rgb="FF3D3D3D"/>
      <name val="System-Ui"/>
      <charset val="1"/>
    </font>
    <font>
      <sz val="11"/>
      <name val="Aptos Display"/>
      <family val="2"/>
      <scheme val="major"/>
    </font>
    <font>
      <sz val="11"/>
      <color rgb="FF000000"/>
      <name val="Aptos Narrow"/>
      <family val="2"/>
      <scheme val="minor"/>
    </font>
    <font>
      <b/>
      <sz val="16"/>
      <color rgb="FF000000"/>
      <name val="Aptos Display"/>
      <family val="2"/>
      <scheme val="major"/>
    </font>
    <font>
      <sz val="16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</font>
    <font>
      <sz val="16"/>
      <color rgb="FF3D3D3D"/>
      <name val="Aptos Display"/>
      <family val="2"/>
      <scheme val="major"/>
    </font>
    <font>
      <sz val="16"/>
      <color rgb="FFFF0000"/>
      <name val="Aptos Display"/>
      <family val="2"/>
      <scheme val="major"/>
    </font>
    <font>
      <sz val="14"/>
      <color theme="1"/>
      <name val="Aptos Narrow"/>
      <family val="2"/>
      <scheme val="minor"/>
    </font>
    <font>
      <b/>
      <sz val="14"/>
      <color rgb="FF000000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rgb="FF2D66D7"/>
      <name val="System-Ui"/>
      <charset val="1"/>
    </font>
    <font>
      <sz val="14"/>
      <color rgb="FF006BB3"/>
      <name val="System-Ui"/>
      <charset val="1"/>
    </font>
    <font>
      <sz val="14"/>
      <color rgb="FF6B6B6B"/>
      <name val="Ui-Sans-Serif"/>
      <charset val="1"/>
    </font>
    <font>
      <u/>
      <sz val="14"/>
      <color theme="10"/>
      <name val="Aptos Display"/>
      <family val="2"/>
      <scheme val="major"/>
    </font>
    <font>
      <sz val="14"/>
      <color rgb="FF1F1F1F"/>
      <name val="Aptos Display"/>
      <family val="2"/>
      <scheme val="major"/>
    </font>
    <font>
      <sz val="14"/>
      <color rgb="FF000000"/>
      <name val="Aptos Narrow"/>
      <family val="2"/>
    </font>
    <font>
      <sz val="14"/>
      <color rgb="FF006BB3"/>
      <name val="Aptos Display"/>
      <family val="2"/>
      <scheme val="major"/>
    </font>
    <font>
      <sz val="14"/>
      <color rgb="FFFF0000"/>
      <name val="Aptos Display"/>
      <family val="2"/>
      <scheme val="major"/>
    </font>
    <font>
      <u/>
      <sz val="14"/>
      <color theme="1"/>
      <name val="Aptos Narrow"/>
      <family val="2"/>
      <scheme val="minor"/>
    </font>
    <font>
      <sz val="14"/>
      <name val="Aptos Display"/>
      <family val="2"/>
      <scheme val="major"/>
    </font>
    <font>
      <sz val="16"/>
      <color rgb="FF1F1F1F"/>
      <name val="Aptos Display"/>
      <family val="2"/>
      <scheme val="major"/>
    </font>
    <font>
      <sz val="10"/>
      <color rgb="FF006BB3"/>
      <name val="System-Ui"/>
      <charset val="1"/>
    </font>
    <font>
      <sz val="11"/>
      <color rgb="FF2D66D7"/>
      <name val="System-Ui"/>
      <charset val="1"/>
    </font>
    <font>
      <sz val="11"/>
      <color rgb="FF006BB3"/>
      <name val="System-Ui"/>
      <charset val="1"/>
    </font>
    <font>
      <sz val="12"/>
      <color rgb="FF3D3D3D"/>
      <name val="System-Ui"/>
      <charset val="1"/>
    </font>
    <font>
      <u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2"/>
      <color rgb="FF000000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57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3" xfId="0" applyFont="1" applyBorder="1"/>
    <xf numFmtId="16" fontId="2" fillId="0" borderId="4" xfId="0" applyNumberFormat="1" applyFont="1" applyBorder="1"/>
    <xf numFmtId="16" fontId="2" fillId="0" borderId="1" xfId="0" applyNumberFormat="1" applyFont="1" applyBorder="1"/>
    <xf numFmtId="16" fontId="2" fillId="0" borderId="3" xfId="0" applyNumberFormat="1" applyFont="1" applyBorder="1"/>
    <xf numFmtId="16" fontId="4" fillId="0" borderId="1" xfId="0" applyNumberFormat="1" applyFont="1" applyBorder="1"/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/>
    <xf numFmtId="0" fontId="5" fillId="3" borderId="3" xfId="0" applyFont="1" applyFill="1" applyBorder="1"/>
    <xf numFmtId="0" fontId="3" fillId="0" borderId="4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5" xfId="0" applyFont="1" applyBorder="1"/>
    <xf numFmtId="0" fontId="3" fillId="2" borderId="1" xfId="0" applyFont="1" applyFill="1" applyBorder="1"/>
    <xf numFmtId="0" fontId="5" fillId="2" borderId="3" xfId="0" applyFont="1" applyFill="1" applyBorder="1"/>
    <xf numFmtId="0" fontId="5" fillId="3" borderId="1" xfId="0" applyFont="1" applyFill="1" applyBorder="1"/>
    <xf numFmtId="0" fontId="7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7" xfId="0" applyFont="1" applyFill="1" applyBorder="1"/>
    <xf numFmtId="0" fontId="5" fillId="2" borderId="4" xfId="0" applyFont="1" applyFill="1" applyBorder="1"/>
    <xf numFmtId="0" fontId="5" fillId="3" borderId="8" xfId="0" applyFont="1" applyFill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5" fillId="3" borderId="3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5" fillId="3" borderId="10" xfId="0" applyFont="1" applyFill="1" applyBorder="1"/>
    <xf numFmtId="0" fontId="5" fillId="2" borderId="10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1" xfId="0" applyFont="1" applyFill="1" applyBorder="1"/>
    <xf numFmtId="0" fontId="3" fillId="0" borderId="12" xfId="0" applyFont="1" applyBorder="1"/>
    <xf numFmtId="0" fontId="3" fillId="3" borderId="13" xfId="0" applyFont="1" applyFill="1" applyBorder="1"/>
    <xf numFmtId="0" fontId="3" fillId="3" borderId="12" xfId="0" applyFont="1" applyFill="1" applyBorder="1"/>
    <xf numFmtId="0" fontId="3" fillId="0" borderId="13" xfId="0" applyFont="1" applyBorder="1"/>
    <xf numFmtId="0" fontId="3" fillId="0" borderId="11" xfId="0" applyFont="1" applyBorder="1"/>
    <xf numFmtId="0" fontId="3" fillId="0" borderId="7" xfId="0" applyFont="1" applyBorder="1"/>
    <xf numFmtId="0" fontId="3" fillId="3" borderId="11" xfId="0" applyFont="1" applyFill="1" applyBorder="1"/>
    <xf numFmtId="0" fontId="0" fillId="0" borderId="10" xfId="0" applyBorder="1"/>
    <xf numFmtId="0" fontId="5" fillId="0" borderId="0" xfId="0" applyFont="1"/>
    <xf numFmtId="0" fontId="4" fillId="0" borderId="5" xfId="0" applyFont="1" applyBorder="1" applyAlignment="1">
      <alignment horizontal="left"/>
    </xf>
    <xf numFmtId="0" fontId="4" fillId="0" borderId="5" xfId="0" applyFont="1" applyBorder="1"/>
    <xf numFmtId="16" fontId="4" fillId="0" borderId="4" xfId="0" applyNumberFormat="1" applyFont="1" applyBorder="1"/>
    <xf numFmtId="16" fontId="4" fillId="0" borderId="3" xfId="0" applyNumberFormat="1" applyFont="1" applyBorder="1"/>
    <xf numFmtId="16" fontId="4" fillId="0" borderId="5" xfId="0" applyNumberFormat="1" applyFont="1" applyBorder="1"/>
    <xf numFmtId="0" fontId="5" fillId="4" borderId="5" xfId="0" applyFont="1" applyFill="1" applyBorder="1"/>
    <xf numFmtId="0" fontId="5" fillId="4" borderId="5" xfId="0" applyFont="1" applyFill="1" applyBorder="1" applyAlignment="1">
      <alignment wrapText="1"/>
    </xf>
    <xf numFmtId="0" fontId="10" fillId="4" borderId="5" xfId="0" applyFont="1" applyFill="1" applyBorder="1"/>
    <xf numFmtId="0" fontId="5" fillId="0" borderId="4" xfId="0" applyFont="1" applyBorder="1"/>
    <xf numFmtId="0" fontId="5" fillId="0" borderId="3" xfId="0" applyFont="1" applyBorder="1"/>
    <xf numFmtId="0" fontId="5" fillId="0" borderId="5" xfId="0" applyFont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wrapText="1"/>
    </xf>
    <xf numFmtId="0" fontId="5" fillId="4" borderId="10" xfId="0" applyFont="1" applyFill="1" applyBorder="1" applyAlignment="1">
      <alignment horizontal="left"/>
    </xf>
    <xf numFmtId="0" fontId="10" fillId="4" borderId="8" xfId="0" applyFont="1" applyFill="1" applyBorder="1"/>
    <xf numFmtId="0" fontId="11" fillId="4" borderId="1" xfId="0" applyFont="1" applyFill="1" applyBorder="1"/>
    <xf numFmtId="0" fontId="5" fillId="4" borderId="3" xfId="0" applyFont="1" applyFill="1" applyBorder="1"/>
    <xf numFmtId="0" fontId="5" fillId="4" borderId="11" xfId="0" applyFont="1" applyFill="1" applyBorder="1"/>
    <xf numFmtId="0" fontId="10" fillId="4" borderId="3" xfId="0" applyFont="1" applyFill="1" applyBorder="1"/>
    <xf numFmtId="0" fontId="5" fillId="4" borderId="1" xfId="0" applyFont="1" applyFill="1" applyBorder="1" applyAlignment="1">
      <alignment horizontal="left"/>
    </xf>
    <xf numFmtId="0" fontId="5" fillId="4" borderId="0" xfId="0" applyFont="1" applyFill="1"/>
    <xf numFmtId="0" fontId="5" fillId="4" borderId="7" xfId="0" applyFont="1" applyFill="1" applyBorder="1"/>
    <xf numFmtId="0" fontId="5" fillId="4" borderId="4" xfId="0" applyFont="1" applyFill="1" applyBorder="1"/>
    <xf numFmtId="0" fontId="5" fillId="4" borderId="16" xfId="0" applyFont="1" applyFill="1" applyBorder="1"/>
    <xf numFmtId="0" fontId="10" fillId="0" borderId="4" xfId="0" applyFont="1" applyBorder="1"/>
    <xf numFmtId="0" fontId="5" fillId="4" borderId="3" xfId="0" applyFont="1" applyFill="1" applyBorder="1" applyAlignment="1">
      <alignment horizontal="left"/>
    </xf>
    <xf numFmtId="0" fontId="5" fillId="4" borderId="9" xfId="0" applyFont="1" applyFill="1" applyBorder="1"/>
    <xf numFmtId="0" fontId="5" fillId="4" borderId="3" xfId="0" applyFont="1" applyFill="1" applyBorder="1" applyAlignment="1">
      <alignment wrapText="1"/>
    </xf>
    <xf numFmtId="0" fontId="10" fillId="4" borderId="1" xfId="0" applyFont="1" applyFill="1" applyBorder="1"/>
    <xf numFmtId="0" fontId="8" fillId="4" borderId="1" xfId="0" applyFont="1" applyFill="1" applyBorder="1" applyAlignment="1">
      <alignment wrapText="1"/>
    </xf>
    <xf numFmtId="0" fontId="10" fillId="4" borderId="3" xfId="0" applyFont="1" applyFill="1" applyBorder="1" applyAlignment="1">
      <alignment wrapText="1"/>
    </xf>
    <xf numFmtId="0" fontId="11" fillId="4" borderId="3" xfId="0" applyFont="1" applyFill="1" applyBorder="1"/>
    <xf numFmtId="0" fontId="5" fillId="4" borderId="13" xfId="0" applyFont="1" applyFill="1" applyBorder="1"/>
    <xf numFmtId="0" fontId="5" fillId="4" borderId="13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0" borderId="13" xfId="0" applyFont="1" applyBorder="1"/>
    <xf numFmtId="0" fontId="5" fillId="0" borderId="12" xfId="0" applyFont="1" applyBorder="1"/>
    <xf numFmtId="0" fontId="5" fillId="0" borderId="11" xfId="0" applyFont="1" applyBorder="1"/>
    <xf numFmtId="0" fontId="5" fillId="0" borderId="7" xfId="0" applyFont="1" applyBorder="1"/>
    <xf numFmtId="0" fontId="5" fillId="4" borderId="11" xfId="0" applyFont="1" applyFill="1" applyBorder="1" applyAlignment="1">
      <alignment wrapText="1"/>
    </xf>
    <xf numFmtId="0" fontId="0" fillId="4" borderId="1" xfId="0" applyFill="1" applyBorder="1"/>
    <xf numFmtId="0" fontId="0" fillId="0" borderId="3" xfId="0" applyBorder="1"/>
    <xf numFmtId="0" fontId="4" fillId="0" borderId="10" xfId="0" applyFont="1" applyBorder="1" applyAlignment="1">
      <alignment horizontal="left"/>
    </xf>
    <xf numFmtId="0" fontId="4" fillId="0" borderId="8" xfId="0" applyFont="1" applyBorder="1"/>
    <xf numFmtId="0" fontId="5" fillId="5" borderId="1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5" fillId="5" borderId="3" xfId="0" applyFont="1" applyFill="1" applyBorder="1"/>
    <xf numFmtId="0" fontId="5" fillId="5" borderId="1" xfId="0" applyFont="1" applyFill="1" applyBorder="1"/>
    <xf numFmtId="0" fontId="7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7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12" fillId="5" borderId="1" xfId="1" applyFont="1" applyFill="1" applyBorder="1"/>
    <xf numFmtId="0" fontId="5" fillId="5" borderId="4" xfId="0" applyFont="1" applyFill="1" applyBorder="1"/>
    <xf numFmtId="0" fontId="3" fillId="5" borderId="13" xfId="0" applyFont="1" applyFill="1" applyBorder="1"/>
    <xf numFmtId="0" fontId="0" fillId="5" borderId="1" xfId="0" applyFill="1" applyBorder="1"/>
    <xf numFmtId="0" fontId="5" fillId="5" borderId="11" xfId="0" applyFont="1" applyFill="1" applyBorder="1"/>
    <xf numFmtId="0" fontId="5" fillId="5" borderId="13" xfId="0" applyFont="1" applyFill="1" applyBorder="1"/>
    <xf numFmtId="0" fontId="3" fillId="0" borderId="18" xfId="0" applyFont="1" applyBorder="1"/>
    <xf numFmtId="0" fontId="3" fillId="5" borderId="11" xfId="0" applyFont="1" applyFill="1" applyBorder="1"/>
    <xf numFmtId="0" fontId="5" fillId="5" borderId="5" xfId="0" applyFont="1" applyFill="1" applyBorder="1"/>
    <xf numFmtId="0" fontId="5" fillId="5" borderId="5" xfId="0" applyFont="1" applyFill="1" applyBorder="1" applyAlignment="1">
      <alignment wrapText="1"/>
    </xf>
    <xf numFmtId="0" fontId="3" fillId="0" borderId="14" xfId="0" applyFont="1" applyBorder="1"/>
    <xf numFmtId="0" fontId="5" fillId="5" borderId="1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5" fillId="6" borderId="10" xfId="0" applyFont="1" applyFill="1" applyBorder="1"/>
    <xf numFmtId="0" fontId="5" fillId="6" borderId="8" xfId="0" applyFont="1" applyFill="1" applyBorder="1"/>
    <xf numFmtId="0" fontId="5" fillId="6" borderId="1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6" borderId="5" xfId="0" applyFont="1" applyFill="1" applyBorder="1"/>
    <xf numFmtId="0" fontId="5" fillId="6" borderId="9" xfId="0" applyFont="1" applyFill="1" applyBorder="1" applyAlignment="1">
      <alignment horizontal="right"/>
    </xf>
    <xf numFmtId="0" fontId="5" fillId="6" borderId="3" xfId="0" applyFont="1" applyFill="1" applyBorder="1"/>
    <xf numFmtId="0" fontId="5" fillId="6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left" wrapText="1"/>
    </xf>
    <xf numFmtId="0" fontId="3" fillId="6" borderId="11" xfId="0" applyFont="1" applyFill="1" applyBorder="1"/>
    <xf numFmtId="0" fontId="15" fillId="6" borderId="11" xfId="0" applyFont="1" applyFill="1" applyBorder="1"/>
    <xf numFmtId="0" fontId="16" fillId="6" borderId="11" xfId="1" applyFont="1" applyFill="1" applyBorder="1"/>
    <xf numFmtId="0" fontId="5" fillId="6" borderId="11" xfId="0" applyFont="1" applyFill="1" applyBorder="1"/>
    <xf numFmtId="0" fontId="5" fillId="6" borderId="11" xfId="0" applyFont="1" applyFill="1" applyBorder="1" applyAlignment="1">
      <alignment horizontal="right"/>
    </xf>
    <xf numFmtId="0" fontId="5" fillId="6" borderId="7" xfId="0" applyFont="1" applyFill="1" applyBorder="1"/>
    <xf numFmtId="0" fontId="3" fillId="6" borderId="1" xfId="0" applyFont="1" applyFill="1" applyBorder="1"/>
    <xf numFmtId="0" fontId="0" fillId="6" borderId="1" xfId="0" applyFill="1" applyBorder="1"/>
    <xf numFmtId="0" fontId="5" fillId="6" borderId="4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wrapText="1"/>
    </xf>
    <xf numFmtId="0" fontId="14" fillId="0" borderId="5" xfId="0" applyFont="1" applyBorder="1"/>
    <xf numFmtId="0" fontId="5" fillId="6" borderId="1" xfId="0" applyFont="1" applyFill="1" applyBorder="1" applyAlignment="1">
      <alignment horizontal="right" wrapText="1"/>
    </xf>
    <xf numFmtId="0" fontId="6" fillId="6" borderId="1" xfId="1" applyFont="1" applyFill="1" applyBorder="1"/>
    <xf numFmtId="0" fontId="10" fillId="6" borderId="1" xfId="1" applyFont="1" applyFill="1" applyBorder="1"/>
    <xf numFmtId="0" fontId="5" fillId="6" borderId="12" xfId="0" applyFont="1" applyFill="1" applyBorder="1"/>
    <xf numFmtId="0" fontId="3" fillId="6" borderId="5" xfId="0" applyFont="1" applyFill="1" applyBorder="1"/>
    <xf numFmtId="0" fontId="5" fillId="6" borderId="13" xfId="0" applyFont="1" applyFill="1" applyBorder="1"/>
    <xf numFmtId="0" fontId="0" fillId="6" borderId="5" xfId="0" applyFill="1" applyBorder="1"/>
    <xf numFmtId="0" fontId="5" fillId="6" borderId="14" xfId="0" applyFont="1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8" fillId="0" borderId="0" xfId="1" applyFill="1" applyBorder="1" applyAlignment="1">
      <alignment wrapText="1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 applyAlignment="1">
      <alignment horizontal="center"/>
    </xf>
    <xf numFmtId="0" fontId="4" fillId="0" borderId="16" xfId="0" applyFont="1" applyBorder="1"/>
    <xf numFmtId="16" fontId="4" fillId="0" borderId="10" xfId="0" applyNumberFormat="1" applyFont="1" applyBorder="1" applyAlignment="1">
      <alignment horizontal="left"/>
    </xf>
    <xf numFmtId="16" fontId="4" fillId="0" borderId="8" xfId="0" applyNumberFormat="1" applyFont="1" applyBorder="1" applyAlignment="1">
      <alignment horizontal="left"/>
    </xf>
    <xf numFmtId="16" fontId="4" fillId="0" borderId="22" xfId="0" applyNumberFormat="1" applyFont="1" applyBorder="1" applyAlignment="1">
      <alignment horizontal="left"/>
    </xf>
    <xf numFmtId="0" fontId="22" fillId="0" borderId="4" xfId="0" applyFont="1" applyBorder="1"/>
    <xf numFmtId="0" fontId="5" fillId="0" borderId="9" xfId="0" applyFont="1" applyBorder="1"/>
    <xf numFmtId="0" fontId="5" fillId="6" borderId="0" xfId="0" applyFont="1" applyFill="1"/>
    <xf numFmtId="0" fontId="5" fillId="0" borderId="1" xfId="0" applyFont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8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16" fontId="5" fillId="0" borderId="4" xfId="0" applyNumberFormat="1" applyFont="1" applyBorder="1"/>
    <xf numFmtId="0" fontId="5" fillId="0" borderId="6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3" xfId="0" applyFont="1" applyBorder="1"/>
    <xf numFmtId="0" fontId="1" fillId="0" borderId="1" xfId="0" applyFont="1" applyBorder="1"/>
    <xf numFmtId="0" fontId="5" fillId="7" borderId="1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0" fillId="0" borderId="4" xfId="0" applyBorder="1"/>
    <xf numFmtId="0" fontId="5" fillId="6" borderId="10" xfId="0" applyFont="1" applyFill="1" applyBorder="1" applyAlignment="1">
      <alignment horizontal="left"/>
    </xf>
    <xf numFmtId="16" fontId="5" fillId="0" borderId="23" xfId="0" applyNumberFormat="1" applyFont="1" applyBorder="1"/>
    <xf numFmtId="0" fontId="23" fillId="0" borderId="4" xfId="0" applyFont="1" applyBorder="1"/>
    <xf numFmtId="0" fontId="10" fillId="6" borderId="1" xfId="1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7" borderId="11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5" fillId="0" borderId="24" xfId="0" applyFont="1" applyBorder="1"/>
    <xf numFmtId="0" fontId="10" fillId="6" borderId="11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7" borderId="4" xfId="0" applyFont="1" applyFill="1" applyBorder="1"/>
    <xf numFmtId="0" fontId="5" fillId="7" borderId="25" xfId="0" applyFont="1" applyFill="1" applyBorder="1"/>
    <xf numFmtId="0" fontId="5" fillId="6" borderId="3" xfId="0" applyFont="1" applyFill="1" applyBorder="1" applyAlignment="1">
      <alignment horizontal="right"/>
    </xf>
    <xf numFmtId="0" fontId="10" fillId="6" borderId="0" xfId="1" applyFont="1" applyFill="1" applyAlignment="1">
      <alignment horizontal="right"/>
    </xf>
    <xf numFmtId="0" fontId="24" fillId="0" borderId="4" xfId="0" applyFont="1" applyBorder="1"/>
    <xf numFmtId="0" fontId="25" fillId="0" borderId="4" xfId="0" applyFont="1" applyBorder="1"/>
    <xf numFmtId="0" fontId="5" fillId="7" borderId="12" xfId="0" applyFont="1" applyFill="1" applyBorder="1" applyAlignment="1">
      <alignment horizontal="left"/>
    </xf>
    <xf numFmtId="0" fontId="26" fillId="6" borderId="0" xfId="0" applyFont="1" applyFill="1"/>
    <xf numFmtId="0" fontId="27" fillId="0" borderId="5" xfId="0" applyFont="1" applyBorder="1" applyAlignment="1">
      <alignment wrapText="1"/>
    </xf>
    <xf numFmtId="0" fontId="27" fillId="0" borderId="4" xfId="0" applyFont="1" applyBorder="1" applyAlignment="1">
      <alignment wrapText="1"/>
    </xf>
    <xf numFmtId="0" fontId="27" fillId="0" borderId="6" xfId="0" applyFont="1" applyBorder="1" applyAlignment="1">
      <alignment wrapText="1"/>
    </xf>
    <xf numFmtId="16" fontId="5" fillId="0" borderId="26" xfId="0" applyNumberFormat="1" applyFont="1" applyBorder="1"/>
    <xf numFmtId="0" fontId="5" fillId="0" borderId="18" xfId="0" applyFont="1" applyBorder="1"/>
    <xf numFmtId="0" fontId="17" fillId="6" borderId="1" xfId="1" applyFont="1" applyFill="1" applyBorder="1"/>
    <xf numFmtId="0" fontId="5" fillId="0" borderId="20" xfId="0" applyFont="1" applyBorder="1"/>
    <xf numFmtId="0" fontId="5" fillId="0" borderId="17" xfId="0" applyFont="1" applyBorder="1"/>
    <xf numFmtId="0" fontId="5" fillId="6" borderId="5" xfId="0" applyFont="1" applyFill="1" applyBorder="1" applyAlignment="1">
      <alignment wrapText="1"/>
    </xf>
    <xf numFmtId="0" fontId="6" fillId="6" borderId="0" xfId="1" applyFont="1" applyFill="1" applyAlignment="1">
      <alignment wrapText="1"/>
    </xf>
    <xf numFmtId="0" fontId="3" fillId="6" borderId="13" xfId="0" applyFont="1" applyFill="1" applyBorder="1"/>
    <xf numFmtId="0" fontId="3" fillId="6" borderId="13" xfId="0" applyFont="1" applyFill="1" applyBorder="1" applyAlignment="1">
      <alignment wrapText="1"/>
    </xf>
    <xf numFmtId="0" fontId="2" fillId="0" borderId="12" xfId="0" applyFont="1" applyBorder="1"/>
    <xf numFmtId="0" fontId="2" fillId="0" borderId="11" xfId="0" applyFont="1" applyBorder="1"/>
    <xf numFmtId="0" fontId="2" fillId="0" borderId="7" xfId="0" applyFont="1" applyBorder="1"/>
    <xf numFmtId="0" fontId="5" fillId="6" borderId="19" xfId="0" applyFont="1" applyFill="1" applyBorder="1"/>
    <xf numFmtId="0" fontId="2" fillId="0" borderId="5" xfId="0" applyFont="1" applyBorder="1"/>
    <xf numFmtId="0" fontId="2" fillId="0" borderId="13" xfId="0" applyFont="1" applyBorder="1"/>
    <xf numFmtId="0" fontId="1" fillId="0" borderId="11" xfId="0" applyFont="1" applyBorder="1"/>
    <xf numFmtId="0" fontId="28" fillId="6" borderId="1" xfId="0" applyFont="1" applyFill="1" applyBorder="1"/>
    <xf numFmtId="0" fontId="30" fillId="0" borderId="0" xfId="0" applyFont="1"/>
    <xf numFmtId="0" fontId="31" fillId="0" borderId="16" xfId="0" applyFont="1" applyBorder="1"/>
    <xf numFmtId="0" fontId="31" fillId="0" borderId="10" xfId="0" applyFont="1" applyBorder="1" applyAlignment="1">
      <alignment horizontal="left"/>
    </xf>
    <xf numFmtId="0" fontId="31" fillId="0" borderId="8" xfId="0" applyFont="1" applyBorder="1"/>
    <xf numFmtId="164" fontId="31" fillId="0" borderId="10" xfId="0" applyNumberFormat="1" applyFont="1" applyBorder="1" applyAlignment="1">
      <alignment horizontal="left"/>
    </xf>
    <xf numFmtId="16" fontId="31" fillId="0" borderId="10" xfId="0" applyNumberFormat="1" applyFont="1" applyBorder="1" applyAlignment="1">
      <alignment horizontal="left"/>
    </xf>
    <xf numFmtId="16" fontId="31" fillId="0" borderId="8" xfId="0" applyNumberFormat="1" applyFont="1" applyBorder="1" applyAlignment="1">
      <alignment horizontal="left"/>
    </xf>
    <xf numFmtId="16" fontId="31" fillId="0" borderId="4" xfId="0" applyNumberFormat="1" applyFont="1" applyBorder="1" applyAlignment="1">
      <alignment horizontal="left"/>
    </xf>
    <xf numFmtId="16" fontId="31" fillId="0" borderId="5" xfId="0" applyNumberFormat="1" applyFont="1" applyBorder="1" applyAlignment="1">
      <alignment horizontal="left"/>
    </xf>
    <xf numFmtId="16" fontId="31" fillId="0" borderId="22" xfId="0" applyNumberFormat="1" applyFont="1" applyBorder="1" applyAlignment="1">
      <alignment horizontal="left"/>
    </xf>
    <xf numFmtId="16" fontId="31" fillId="0" borderId="4" xfId="0" applyNumberFormat="1" applyFont="1" applyBorder="1"/>
    <xf numFmtId="16" fontId="29" fillId="0" borderId="4" xfId="0" applyNumberFormat="1" applyFont="1" applyBorder="1"/>
    <xf numFmtId="16" fontId="31" fillId="0" borderId="5" xfId="0" applyNumberFormat="1" applyFont="1" applyBorder="1"/>
    <xf numFmtId="16" fontId="31" fillId="0" borderId="1" xfId="0" applyNumberFormat="1" applyFont="1" applyBorder="1"/>
    <xf numFmtId="16" fontId="31" fillId="0" borderId="3" xfId="0" applyNumberFormat="1" applyFont="1" applyBorder="1"/>
    <xf numFmtId="16" fontId="32" fillId="0" borderId="4" xfId="0" applyNumberFormat="1" applyFont="1" applyBorder="1"/>
    <xf numFmtId="16" fontId="32" fillId="0" borderId="5" xfId="0" applyNumberFormat="1" applyFont="1" applyBorder="1"/>
    <xf numFmtId="0" fontId="5" fillId="5" borderId="0" xfId="0" applyFont="1" applyFill="1" applyAlignment="1">
      <alignment horizontal="left"/>
    </xf>
    <xf numFmtId="0" fontId="5" fillId="7" borderId="6" xfId="0" applyFont="1" applyFill="1" applyBorder="1" applyAlignment="1">
      <alignment horizontal="left"/>
    </xf>
    <xf numFmtId="0" fontId="1" fillId="0" borderId="5" xfId="0" applyFont="1" applyBorder="1"/>
    <xf numFmtId="0" fontId="6" fillId="5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left" wrapText="1"/>
    </xf>
    <xf numFmtId="0" fontId="6" fillId="5" borderId="11" xfId="0" applyFont="1" applyFill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7" borderId="5" xfId="0" applyFont="1" applyFill="1" applyBorder="1"/>
    <xf numFmtId="0" fontId="5" fillId="0" borderId="21" xfId="0" applyFont="1" applyBorder="1"/>
    <xf numFmtId="0" fontId="5" fillId="0" borderId="27" xfId="0" applyFont="1" applyBorder="1"/>
    <xf numFmtId="0" fontId="5" fillId="0" borderId="19" xfId="0" applyFont="1" applyBorder="1"/>
    <xf numFmtId="0" fontId="6" fillId="5" borderId="1" xfId="1" applyFont="1" applyFill="1" applyBorder="1" applyAlignment="1">
      <alignment wrapText="1"/>
    </xf>
    <xf numFmtId="0" fontId="5" fillId="7" borderId="13" xfId="0" applyFont="1" applyFill="1" applyBorder="1" applyAlignment="1">
      <alignment horizontal="left"/>
    </xf>
    <xf numFmtId="0" fontId="6" fillId="5" borderId="1" xfId="1" applyFont="1" applyFill="1" applyBorder="1"/>
    <xf numFmtId="0" fontId="5" fillId="5" borderId="7" xfId="0" applyFont="1" applyFill="1" applyBorder="1"/>
    <xf numFmtId="0" fontId="5" fillId="5" borderId="3" xfId="0" applyFont="1" applyFill="1" applyBorder="1" applyAlignment="1">
      <alignment wrapText="1"/>
    </xf>
    <xf numFmtId="0" fontId="5" fillId="0" borderId="14" xfId="0" applyFont="1" applyBorder="1"/>
    <xf numFmtId="0" fontId="27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5" fillId="5" borderId="13" xfId="0" applyFont="1" applyFill="1" applyBorder="1" applyAlignment="1">
      <alignment horizontal="left"/>
    </xf>
    <xf numFmtId="0" fontId="27" fillId="0" borderId="0" xfId="0" applyFont="1" applyAlignment="1">
      <alignment wrapText="1"/>
    </xf>
    <xf numFmtId="0" fontId="11" fillId="5" borderId="0" xfId="0" applyFont="1" applyFill="1"/>
    <xf numFmtId="0" fontId="5" fillId="5" borderId="11" xfId="0" applyFont="1" applyFill="1" applyBorder="1" applyAlignment="1">
      <alignment wrapText="1"/>
    </xf>
    <xf numFmtId="0" fontId="3" fillId="5" borderId="13" xfId="0" applyFont="1" applyFill="1" applyBorder="1" applyAlignment="1">
      <alignment wrapText="1"/>
    </xf>
    <xf numFmtId="0" fontId="3" fillId="7" borderId="13" xfId="0" applyFont="1" applyFill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29" xfId="0" applyFont="1" applyBorder="1"/>
    <xf numFmtId="0" fontId="16" fillId="5" borderId="11" xfId="1" applyFont="1" applyFill="1" applyBorder="1" applyAlignment="1"/>
    <xf numFmtId="0" fontId="3" fillId="5" borderId="1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2" xfId="0" applyBorder="1"/>
    <xf numFmtId="0" fontId="3" fillId="0" borderId="30" xfId="0" applyFont="1" applyBorder="1"/>
    <xf numFmtId="0" fontId="3" fillId="5" borderId="5" xfId="0" applyFont="1" applyFill="1" applyBorder="1"/>
    <xf numFmtId="0" fontId="0" fillId="5" borderId="13" xfId="0" applyFill="1" applyBorder="1"/>
    <xf numFmtId="0" fontId="0" fillId="0" borderId="13" xfId="0" applyBorder="1"/>
    <xf numFmtId="0" fontId="1" fillId="0" borderId="13" xfId="0" applyFont="1" applyBorder="1"/>
    <xf numFmtId="0" fontId="3" fillId="0" borderId="31" xfId="0" applyFont="1" applyBorder="1"/>
    <xf numFmtId="0" fontId="0" fillId="5" borderId="11" xfId="0" applyFill="1" applyBorder="1"/>
    <xf numFmtId="0" fontId="0" fillId="0" borderId="11" xfId="0" applyBorder="1"/>
    <xf numFmtId="0" fontId="33" fillId="0" borderId="34" xfId="0" applyFont="1" applyBorder="1"/>
    <xf numFmtId="0" fontId="33" fillId="0" borderId="35" xfId="0" applyFont="1" applyBorder="1"/>
    <xf numFmtId="0" fontId="14" fillId="0" borderId="29" xfId="0" applyFont="1" applyBorder="1"/>
    <xf numFmtId="0" fontId="14" fillId="0" borderId="5" xfId="0" applyFont="1" applyBorder="1" applyAlignment="1">
      <alignment horizontal="left"/>
    </xf>
    <xf numFmtId="16" fontId="14" fillId="0" borderId="5" xfId="0" applyNumberFormat="1" applyFont="1" applyBorder="1"/>
    <xf numFmtId="16" fontId="14" fillId="0" borderId="4" xfId="0" applyNumberFormat="1" applyFont="1" applyBorder="1"/>
    <xf numFmtId="16" fontId="14" fillId="0" borderId="1" xfId="0" applyNumberFormat="1" applyFont="1" applyBorder="1"/>
    <xf numFmtId="16" fontId="14" fillId="0" borderId="3" xfId="0" applyNumberFormat="1" applyFont="1" applyBorder="1"/>
    <xf numFmtId="16" fontId="32" fillId="0" borderId="1" xfId="0" applyNumberFormat="1" applyFont="1" applyBorder="1"/>
    <xf numFmtId="16" fontId="32" fillId="0" borderId="3" xfId="0" applyNumberFormat="1" applyFont="1" applyBorder="1"/>
    <xf numFmtId="0" fontId="33" fillId="0" borderId="29" xfId="0" applyFont="1" applyBorder="1"/>
    <xf numFmtId="0" fontId="28" fillId="4" borderId="5" xfId="0" applyFont="1" applyFill="1" applyBorder="1" applyAlignment="1">
      <alignment horizontal="left"/>
    </xf>
    <xf numFmtId="0" fontId="28" fillId="4" borderId="5" xfId="0" applyFont="1" applyFill="1" applyBorder="1"/>
    <xf numFmtId="0" fontId="28" fillId="0" borderId="5" xfId="0" applyFont="1" applyBorder="1"/>
    <xf numFmtId="0" fontId="28" fillId="0" borderId="4" xfId="0" applyFont="1" applyBorder="1"/>
    <xf numFmtId="0" fontId="32" fillId="0" borderId="4" xfId="0" applyFont="1" applyBorder="1"/>
    <xf numFmtId="0" fontId="28" fillId="0" borderId="1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1" xfId="0" applyFont="1" applyBorder="1"/>
    <xf numFmtId="0" fontId="28" fillId="0" borderId="3" xfId="0" applyFont="1" applyBorder="1"/>
    <xf numFmtId="0" fontId="32" fillId="0" borderId="5" xfId="0" applyFont="1" applyBorder="1"/>
    <xf numFmtId="0" fontId="28" fillId="4" borderId="1" xfId="0" applyFont="1" applyFill="1" applyBorder="1"/>
    <xf numFmtId="0" fontId="28" fillId="4" borderId="1" xfId="0" applyFont="1" applyFill="1" applyBorder="1" applyAlignment="1">
      <alignment wrapText="1"/>
    </xf>
    <xf numFmtId="0" fontId="28" fillId="0" borderId="6" xfId="0" applyFont="1" applyBorder="1"/>
    <xf numFmtId="0" fontId="34" fillId="4" borderId="10" xfId="0" applyFont="1" applyFill="1" applyBorder="1"/>
    <xf numFmtId="0" fontId="34" fillId="4" borderId="10" xfId="1" applyFont="1" applyFill="1" applyBorder="1"/>
    <xf numFmtId="0" fontId="34" fillId="4" borderId="10" xfId="0" applyFont="1" applyFill="1" applyBorder="1" applyAlignment="1">
      <alignment wrapText="1"/>
    </xf>
    <xf numFmtId="0" fontId="34" fillId="4" borderId="8" xfId="0" applyFont="1" applyFill="1" applyBorder="1"/>
    <xf numFmtId="0" fontId="28" fillId="0" borderId="20" xfId="0" applyFont="1" applyBorder="1"/>
    <xf numFmtId="0" fontId="28" fillId="0" borderId="17" xfId="0" applyFont="1" applyBorder="1"/>
    <xf numFmtId="0" fontId="32" fillId="0" borderId="0" xfId="0" applyFont="1"/>
    <xf numFmtId="0" fontId="28" fillId="4" borderId="1" xfId="0" applyFont="1" applyFill="1" applyBorder="1" applyAlignment="1">
      <alignment horizontal="left"/>
    </xf>
    <xf numFmtId="0" fontId="34" fillId="4" borderId="3" xfId="0" applyFont="1" applyFill="1" applyBorder="1"/>
    <xf numFmtId="0" fontId="28" fillId="0" borderId="13" xfId="0" applyFont="1" applyBorder="1"/>
    <xf numFmtId="0" fontId="28" fillId="0" borderId="12" xfId="0" applyFont="1" applyBorder="1"/>
    <xf numFmtId="0" fontId="35" fillId="4" borderId="1" xfId="1" applyFont="1" applyFill="1" applyBorder="1"/>
    <xf numFmtId="0" fontId="28" fillId="0" borderId="19" xfId="0" applyFont="1" applyBorder="1"/>
    <xf numFmtId="0" fontId="28" fillId="4" borderId="11" xfId="0" applyFont="1" applyFill="1" applyBorder="1" applyAlignment="1">
      <alignment horizontal="left"/>
    </xf>
    <xf numFmtId="0" fontId="34" fillId="4" borderId="11" xfId="0" applyFont="1" applyFill="1" applyBorder="1" applyAlignment="1">
      <alignment horizontal="left"/>
    </xf>
    <xf numFmtId="0" fontId="28" fillId="0" borderId="5" xfId="0" applyFont="1" applyBorder="1" applyAlignment="1">
      <alignment horizontal="left"/>
    </xf>
    <xf numFmtId="0" fontId="28" fillId="7" borderId="36" xfId="0" applyFont="1" applyFill="1" applyBorder="1" applyAlignment="1">
      <alignment horizontal="left"/>
    </xf>
    <xf numFmtId="0" fontId="28" fillId="7" borderId="4" xfId="0" applyFont="1" applyFill="1" applyBorder="1" applyAlignment="1">
      <alignment horizontal="left"/>
    </xf>
    <xf numFmtId="0" fontId="28" fillId="0" borderId="21" xfId="0" applyFont="1" applyBorder="1"/>
    <xf numFmtId="0" fontId="28" fillId="7" borderId="5" xfId="0" applyFont="1" applyFill="1" applyBorder="1" applyAlignment="1">
      <alignment horizontal="left"/>
    </xf>
    <xf numFmtId="0" fontId="28" fillId="0" borderId="18" xfId="0" applyFont="1" applyBorder="1"/>
    <xf numFmtId="0" fontId="28" fillId="7" borderId="13" xfId="0" applyFont="1" applyFill="1" applyBorder="1" applyAlignment="1">
      <alignment horizontal="left"/>
    </xf>
    <xf numFmtId="0" fontId="28" fillId="0" borderId="14" xfId="0" applyFont="1" applyBorder="1"/>
    <xf numFmtId="0" fontId="35" fillId="4" borderId="1" xfId="1" applyFont="1" applyFill="1" applyBorder="1" applyAlignment="1">
      <alignment wrapText="1"/>
    </xf>
    <xf numFmtId="0" fontId="34" fillId="4" borderId="7" xfId="0" applyFont="1" applyFill="1" applyBorder="1"/>
    <xf numFmtId="0" fontId="28" fillId="7" borderId="20" xfId="0" applyFont="1" applyFill="1" applyBorder="1" applyAlignment="1">
      <alignment horizontal="left"/>
    </xf>
    <xf numFmtId="0" fontId="35" fillId="4" borderId="0" xfId="1" applyFont="1" applyFill="1" applyBorder="1"/>
    <xf numFmtId="0" fontId="28" fillId="4" borderId="7" xfId="0" applyFont="1" applyFill="1" applyBorder="1" applyAlignment="1">
      <alignment wrapText="1"/>
    </xf>
    <xf numFmtId="0" fontId="34" fillId="4" borderId="4" xfId="0" applyFont="1" applyFill="1" applyBorder="1"/>
    <xf numFmtId="0" fontId="28" fillId="4" borderId="3" xfId="0" applyFont="1" applyFill="1" applyBorder="1"/>
    <xf numFmtId="0" fontId="28" fillId="4" borderId="13" xfId="0" applyFont="1" applyFill="1" applyBorder="1" applyAlignment="1">
      <alignment wrapText="1"/>
    </xf>
    <xf numFmtId="0" fontId="28" fillId="4" borderId="5" xfId="0" applyFont="1" applyFill="1" applyBorder="1" applyAlignment="1">
      <alignment wrapText="1"/>
    </xf>
    <xf numFmtId="0" fontId="34" fillId="4" borderId="6" xfId="0" applyFont="1" applyFill="1" applyBorder="1"/>
    <xf numFmtId="0" fontId="36" fillId="4" borderId="5" xfId="0" applyFont="1" applyFill="1" applyBorder="1" applyAlignment="1">
      <alignment wrapText="1"/>
    </xf>
    <xf numFmtId="0" fontId="28" fillId="4" borderId="16" xfId="0" applyFont="1" applyFill="1" applyBorder="1" applyAlignment="1">
      <alignment wrapText="1"/>
    </xf>
    <xf numFmtId="0" fontId="28" fillId="4" borderId="9" xfId="0" applyFont="1" applyFill="1" applyBorder="1" applyAlignment="1">
      <alignment wrapText="1"/>
    </xf>
    <xf numFmtId="0" fontId="34" fillId="4" borderId="17" xfId="0" applyFont="1" applyFill="1" applyBorder="1"/>
    <xf numFmtId="0" fontId="37" fillId="4" borderId="0" xfId="0" applyFont="1" applyFill="1" applyAlignment="1">
      <alignment wrapText="1"/>
    </xf>
    <xf numFmtId="0" fontId="28" fillId="4" borderId="3" xfId="0" applyFont="1" applyFill="1" applyBorder="1" applyAlignment="1">
      <alignment wrapText="1"/>
    </xf>
    <xf numFmtId="0" fontId="28" fillId="7" borderId="5" xfId="0" applyFont="1" applyFill="1" applyBorder="1"/>
    <xf numFmtId="0" fontId="35" fillId="4" borderId="1" xfId="1" applyFont="1" applyFill="1" applyBorder="1" applyAlignment="1"/>
    <xf numFmtId="0" fontId="28" fillId="0" borderId="0" xfId="0" applyFont="1"/>
    <xf numFmtId="0" fontId="28" fillId="4" borderId="3" xfId="0" applyFont="1" applyFill="1" applyBorder="1" applyAlignment="1">
      <alignment horizontal="left"/>
    </xf>
    <xf numFmtId="0" fontId="28" fillId="0" borderId="27" xfId="0" applyFont="1" applyBorder="1"/>
    <xf numFmtId="0" fontId="28" fillId="4" borderId="10" xfId="0" applyFont="1" applyFill="1" applyBorder="1"/>
    <xf numFmtId="0" fontId="28" fillId="4" borderId="8" xfId="0" applyFont="1" applyFill="1" applyBorder="1"/>
    <xf numFmtId="0" fontId="28" fillId="4" borderId="11" xfId="0" applyFont="1" applyFill="1" applyBorder="1"/>
    <xf numFmtId="0" fontId="35" fillId="4" borderId="0" xfId="1" applyFont="1" applyFill="1" applyAlignment="1">
      <alignment wrapText="1"/>
    </xf>
    <xf numFmtId="0" fontId="28" fillId="0" borderId="11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38" fillId="4" borderId="4" xfId="0" applyFont="1" applyFill="1" applyBorder="1"/>
    <xf numFmtId="0" fontId="28" fillId="4" borderId="19" xfId="0" applyFont="1" applyFill="1" applyBorder="1"/>
    <xf numFmtId="0" fontId="28" fillId="4" borderId="4" xfId="0" applyFont="1" applyFill="1" applyBorder="1"/>
    <xf numFmtId="0" fontId="33" fillId="0" borderId="37" xfId="0" applyFont="1" applyBorder="1"/>
    <xf numFmtId="0" fontId="28" fillId="4" borderId="13" xfId="0" applyFont="1" applyFill="1" applyBorder="1"/>
    <xf numFmtId="0" fontId="28" fillId="4" borderId="12" xfId="0" applyFont="1" applyFill="1" applyBorder="1" applyAlignment="1">
      <alignment wrapText="1"/>
    </xf>
    <xf numFmtId="0" fontId="28" fillId="4" borderId="14" xfId="0" applyFont="1" applyFill="1" applyBorder="1"/>
    <xf numFmtId="0" fontId="28" fillId="4" borderId="12" xfId="0" applyFont="1" applyFill="1" applyBorder="1"/>
    <xf numFmtId="0" fontId="30" fillId="4" borderId="5" xfId="0" applyFont="1" applyFill="1" applyBorder="1"/>
    <xf numFmtId="0" fontId="39" fillId="4" borderId="5" xfId="1" applyFont="1" applyFill="1" applyBorder="1"/>
    <xf numFmtId="0" fontId="30" fillId="0" borderId="19" xfId="0" applyFont="1" applyBorder="1"/>
    <xf numFmtId="0" fontId="30" fillId="0" borderId="5" xfId="0" applyFont="1" applyBorder="1"/>
    <xf numFmtId="0" fontId="34" fillId="4" borderId="5" xfId="0" applyFont="1" applyFill="1" applyBorder="1"/>
    <xf numFmtId="0" fontId="40" fillId="4" borderId="5" xfId="0" applyFont="1" applyFill="1" applyBorder="1" applyAlignment="1">
      <alignment wrapText="1"/>
    </xf>
    <xf numFmtId="0" fontId="34" fillId="4" borderId="4" xfId="0" applyFont="1" applyFill="1" applyBorder="1" applyAlignment="1">
      <alignment wrapText="1"/>
    </xf>
    <xf numFmtId="0" fontId="41" fillId="0" borderId="12" xfId="0" applyFont="1" applyBorder="1"/>
    <xf numFmtId="0" fontId="28" fillId="0" borderId="11" xfId="0" applyFont="1" applyBorder="1"/>
    <xf numFmtId="0" fontId="28" fillId="0" borderId="7" xfId="0" applyFont="1" applyBorder="1"/>
    <xf numFmtId="0" fontId="33" fillId="0" borderId="11" xfId="0" applyFont="1" applyBorder="1"/>
    <xf numFmtId="0" fontId="28" fillId="4" borderId="7" xfId="0" applyFont="1" applyFill="1" applyBorder="1"/>
    <xf numFmtId="0" fontId="28" fillId="4" borderId="24" xfId="0" applyFont="1" applyFill="1" applyBorder="1"/>
    <xf numFmtId="0" fontId="32" fillId="0" borderId="13" xfId="0" applyFont="1" applyBorder="1"/>
    <xf numFmtId="0" fontId="32" fillId="0" borderId="1" xfId="0" applyFont="1" applyBorder="1"/>
    <xf numFmtId="0" fontId="0" fillId="2" borderId="0" xfId="0" applyFill="1"/>
    <xf numFmtId="17" fontId="30" fillId="0" borderId="0" xfId="0" applyNumberFormat="1" applyFont="1"/>
    <xf numFmtId="0" fontId="31" fillId="0" borderId="1" xfId="0" applyFont="1" applyBorder="1"/>
    <xf numFmtId="0" fontId="31" fillId="0" borderId="1" xfId="0" applyFont="1" applyBorder="1" applyAlignment="1">
      <alignment horizontal="left"/>
    </xf>
    <xf numFmtId="0" fontId="31" fillId="0" borderId="3" xfId="0" applyFont="1" applyBorder="1"/>
    <xf numFmtId="16" fontId="31" fillId="0" borderId="13" xfId="0" applyNumberFormat="1" applyFont="1" applyBorder="1"/>
    <xf numFmtId="16" fontId="31" fillId="0" borderId="12" xfId="0" applyNumberFormat="1" applyFont="1" applyBorder="1"/>
    <xf numFmtId="0" fontId="31" fillId="0" borderId="4" xfId="0" applyFont="1" applyBorder="1"/>
    <xf numFmtId="0" fontId="30" fillId="0" borderId="1" xfId="0" applyFont="1" applyBorder="1"/>
    <xf numFmtId="0" fontId="30" fillId="2" borderId="1" xfId="0" applyFont="1" applyFill="1" applyBorder="1"/>
    <xf numFmtId="0" fontId="39" fillId="2" borderId="1" xfId="1" applyFont="1" applyFill="1" applyBorder="1" applyAlignment="1"/>
    <xf numFmtId="0" fontId="30" fillId="3" borderId="3" xfId="0" applyFont="1" applyFill="1" applyBorder="1"/>
    <xf numFmtId="0" fontId="30" fillId="0" borderId="4" xfId="0" applyFont="1" applyBorder="1"/>
    <xf numFmtId="0" fontId="30" fillId="0" borderId="6" xfId="0" applyFont="1" applyBorder="1"/>
    <xf numFmtId="0" fontId="30" fillId="0" borderId="21" xfId="0" applyFont="1" applyBorder="1"/>
    <xf numFmtId="0" fontId="30" fillId="0" borderId="3" xfId="0" applyFont="1" applyBorder="1"/>
    <xf numFmtId="0" fontId="0" fillId="0" borderId="6" xfId="0" applyBorder="1"/>
    <xf numFmtId="0" fontId="1" fillId="0" borderId="4" xfId="0" applyFont="1" applyBorder="1"/>
    <xf numFmtId="0" fontId="30" fillId="3" borderId="1" xfId="0" applyFont="1" applyFill="1" applyBorder="1" applyAlignment="1">
      <alignment horizontal="left"/>
    </xf>
    <xf numFmtId="0" fontId="30" fillId="3" borderId="1" xfId="0" applyFont="1" applyFill="1" applyBorder="1"/>
    <xf numFmtId="0" fontId="39" fillId="3" borderId="1" xfId="1" applyFont="1" applyFill="1" applyBorder="1" applyAlignment="1"/>
    <xf numFmtId="0" fontId="30" fillId="0" borderId="12" xfId="0" applyFont="1" applyBorder="1"/>
    <xf numFmtId="0" fontId="30" fillId="3" borderId="1" xfId="1" applyFont="1" applyFill="1" applyBorder="1" applyAlignment="1">
      <alignment horizontal="left"/>
    </xf>
    <xf numFmtId="0" fontId="30" fillId="3" borderId="7" xfId="0" applyFont="1" applyFill="1" applyBorder="1"/>
    <xf numFmtId="0" fontId="30" fillId="0" borderId="13" xfId="0" applyFont="1" applyBorder="1"/>
    <xf numFmtId="0" fontId="30" fillId="3" borderId="4" xfId="0" applyFont="1" applyFill="1" applyBorder="1"/>
    <xf numFmtId="0" fontId="30" fillId="7" borderId="5" xfId="0" applyFont="1" applyFill="1" applyBorder="1"/>
    <xf numFmtId="0" fontId="30" fillId="0" borderId="14" xfId="0" applyFont="1" applyBorder="1"/>
    <xf numFmtId="0" fontId="30" fillId="2" borderId="8" xfId="0" applyFont="1" applyFill="1" applyBorder="1"/>
    <xf numFmtId="0" fontId="30" fillId="7" borderId="4" xfId="0" applyFont="1" applyFill="1" applyBorder="1"/>
    <xf numFmtId="0" fontId="30" fillId="7" borderId="21" xfId="0" applyFont="1" applyFill="1" applyBorder="1"/>
    <xf numFmtId="0" fontId="30" fillId="7" borderId="1" xfId="0" applyFont="1" applyFill="1" applyBorder="1"/>
    <xf numFmtId="0" fontId="30" fillId="2" borderId="1" xfId="0" applyFont="1" applyFill="1" applyBorder="1" applyAlignment="1">
      <alignment horizontal="left"/>
    </xf>
    <xf numFmtId="0" fontId="30" fillId="2" borderId="3" xfId="0" applyFont="1" applyFill="1" applyBorder="1"/>
    <xf numFmtId="0" fontId="30" fillId="7" borderId="13" xfId="0" applyFont="1" applyFill="1" applyBorder="1"/>
    <xf numFmtId="0" fontId="30" fillId="0" borderId="18" xfId="0" applyFont="1" applyBorder="1"/>
    <xf numFmtId="0" fontId="30" fillId="3" borderId="0" xfId="0" applyFont="1" applyFill="1"/>
    <xf numFmtId="0" fontId="42" fillId="3" borderId="5" xfId="0" applyFont="1" applyFill="1" applyBorder="1"/>
    <xf numFmtId="0" fontId="30" fillId="3" borderId="9" xfId="0" applyFont="1" applyFill="1" applyBorder="1"/>
    <xf numFmtId="0" fontId="39" fillId="2" borderId="1" xfId="1" applyFont="1" applyFill="1" applyBorder="1"/>
    <xf numFmtId="0" fontId="30" fillId="2" borderId="3" xfId="0" applyFont="1" applyFill="1" applyBorder="1" applyAlignment="1">
      <alignment wrapText="1"/>
    </xf>
    <xf numFmtId="0" fontId="43" fillId="0" borderId="0" xfId="0" applyFont="1"/>
    <xf numFmtId="0" fontId="43" fillId="0" borderId="0" xfId="0" applyFont="1" applyAlignment="1">
      <alignment wrapText="1"/>
    </xf>
    <xf numFmtId="0" fontId="30" fillId="3" borderId="1" xfId="0" applyFont="1" applyFill="1" applyBorder="1" applyAlignment="1">
      <alignment wrapText="1"/>
    </xf>
    <xf numFmtId="0" fontId="30" fillId="3" borderId="10" xfId="0" applyFont="1" applyFill="1" applyBorder="1"/>
    <xf numFmtId="0" fontId="39" fillId="3" borderId="1" xfId="1" applyFont="1" applyFill="1" applyBorder="1"/>
    <xf numFmtId="0" fontId="30" fillId="2" borderId="1" xfId="0" applyFont="1" applyFill="1" applyBorder="1" applyAlignment="1">
      <alignment wrapText="1"/>
    </xf>
    <xf numFmtId="0" fontId="44" fillId="3" borderId="0" xfId="1" applyFont="1" applyFill="1"/>
    <xf numFmtId="0" fontId="45" fillId="3" borderId="0" xfId="0" applyFont="1" applyFill="1"/>
    <xf numFmtId="0" fontId="30" fillId="2" borderId="10" xfId="0" applyFont="1" applyFill="1" applyBorder="1"/>
    <xf numFmtId="0" fontId="28" fillId="2" borderId="1" xfId="0" applyFont="1" applyFill="1" applyBorder="1"/>
    <xf numFmtId="0" fontId="0" fillId="2" borderId="1" xfId="0" applyFill="1" applyBorder="1"/>
    <xf numFmtId="0" fontId="3" fillId="2" borderId="11" xfId="0" applyFont="1" applyFill="1" applyBorder="1"/>
    <xf numFmtId="0" fontId="23" fillId="3" borderId="13" xfId="0" applyFont="1" applyFill="1" applyBorder="1"/>
    <xf numFmtId="0" fontId="46" fillId="3" borderId="13" xfId="0" applyFont="1" applyFill="1" applyBorder="1" applyAlignment="1">
      <alignment wrapText="1"/>
    </xf>
    <xf numFmtId="0" fontId="23" fillId="3" borderId="14" xfId="0" applyFont="1" applyFill="1" applyBorder="1" applyAlignment="1">
      <alignment wrapText="1"/>
    </xf>
    <xf numFmtId="0" fontId="23" fillId="3" borderId="12" xfId="0" applyFont="1" applyFill="1" applyBorder="1" applyAlignment="1">
      <alignment wrapText="1"/>
    </xf>
    <xf numFmtId="0" fontId="0" fillId="0" borderId="14" xfId="0" applyBorder="1"/>
    <xf numFmtId="0" fontId="0" fillId="0" borderId="7" xfId="0" applyBorder="1"/>
    <xf numFmtId="0" fontId="30" fillId="0" borderId="11" xfId="0" applyFont="1" applyBorder="1"/>
    <xf numFmtId="0" fontId="3" fillId="2" borderId="13" xfId="0" applyFont="1" applyFill="1" applyBorder="1"/>
    <xf numFmtId="0" fontId="3" fillId="2" borderId="12" xfId="0" applyFont="1" applyFill="1" applyBorder="1"/>
    <xf numFmtId="0" fontId="1" fillId="0" borderId="12" xfId="0" applyFont="1" applyBorder="1"/>
    <xf numFmtId="0" fontId="28" fillId="2" borderId="3" xfId="0" applyFont="1" applyFill="1" applyBorder="1"/>
    <xf numFmtId="0" fontId="28" fillId="0" borderId="9" xfId="0" applyFont="1" applyBorder="1"/>
    <xf numFmtId="0" fontId="21" fillId="4" borderId="1" xfId="0" applyFont="1" applyFill="1" applyBorder="1"/>
    <xf numFmtId="0" fontId="18" fillId="2" borderId="1" xfId="1" applyFill="1" applyBorder="1" applyAlignment="1"/>
    <xf numFmtId="0" fontId="0" fillId="3" borderId="3" xfId="0" applyFill="1" applyBorder="1"/>
    <xf numFmtId="0" fontId="1" fillId="7" borderId="5" xfId="0" applyFont="1" applyFill="1" applyBorder="1" applyAlignment="1">
      <alignment horizontal="left"/>
    </xf>
    <xf numFmtId="0" fontId="1" fillId="7" borderId="5" xfId="0" applyFont="1" applyFill="1" applyBorder="1"/>
    <xf numFmtId="0" fontId="0" fillId="7" borderId="5" xfId="0" applyFill="1" applyBorder="1"/>
    <xf numFmtId="0" fontId="0" fillId="0" borderId="9" xfId="0" applyBorder="1"/>
    <xf numFmtId="0" fontId="0" fillId="3" borderId="1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3" borderId="1" xfId="0" applyFill="1" applyBorder="1"/>
    <xf numFmtId="0" fontId="18" fillId="3" borderId="1" xfId="1" applyFill="1" applyBorder="1" applyAlignment="1"/>
    <xf numFmtId="0" fontId="0" fillId="7" borderId="1" xfId="0" applyFill="1" applyBorder="1"/>
    <xf numFmtId="0" fontId="1" fillId="0" borderId="9" xfId="0" applyFont="1" applyBorder="1"/>
    <xf numFmtId="0" fontId="0" fillId="3" borderId="1" xfId="1" applyFont="1" applyFill="1" applyBorder="1" applyAlignment="1">
      <alignment horizontal="left"/>
    </xf>
    <xf numFmtId="0" fontId="0" fillId="3" borderId="7" xfId="0" applyFill="1" applyBorder="1"/>
    <xf numFmtId="0" fontId="0" fillId="3" borderId="4" xfId="0" applyFill="1" applyBorder="1"/>
    <xf numFmtId="0" fontId="0" fillId="2" borderId="8" xfId="0" applyFill="1" applyBorder="1"/>
    <xf numFmtId="0" fontId="0" fillId="2" borderId="1" xfId="0" applyFill="1" applyBorder="1" applyAlignment="1">
      <alignment horizontal="left"/>
    </xf>
    <xf numFmtId="0" fontId="0" fillId="2" borderId="3" xfId="0" applyFill="1" applyBorder="1"/>
    <xf numFmtId="0" fontId="0" fillId="3" borderId="0" xfId="0" applyFill="1"/>
    <xf numFmtId="0" fontId="47" fillId="3" borderId="5" xfId="0" applyFont="1" applyFill="1" applyBorder="1"/>
    <xf numFmtId="0" fontId="0" fillId="3" borderId="9" xfId="0" applyFill="1" applyBorder="1"/>
    <xf numFmtId="0" fontId="18" fillId="2" borderId="10" xfId="1" applyFill="1" applyBorder="1"/>
    <xf numFmtId="0" fontId="18" fillId="2" borderId="1" xfId="1" applyFill="1" applyBorder="1"/>
    <xf numFmtId="0" fontId="0" fillId="2" borderId="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/>
    <xf numFmtId="0" fontId="18" fillId="3" borderId="1" xfId="1" applyFill="1" applyBorder="1"/>
    <xf numFmtId="0" fontId="0" fillId="2" borderId="1" xfId="0" applyFill="1" applyBorder="1" applyAlignment="1">
      <alignment wrapText="1"/>
    </xf>
    <xf numFmtId="0" fontId="0" fillId="4" borderId="5" xfId="0" applyFill="1" applyBorder="1" applyAlignment="1">
      <alignment horizontal="left"/>
    </xf>
    <xf numFmtId="0" fontId="0" fillId="4" borderId="5" xfId="0" applyFill="1" applyBorder="1"/>
    <xf numFmtId="0" fontId="0" fillId="4" borderId="1" xfId="0" applyFill="1" applyBorder="1" applyAlignment="1">
      <alignment wrapText="1"/>
    </xf>
    <xf numFmtId="0" fontId="21" fillId="4" borderId="10" xfId="0" applyFont="1" applyFill="1" applyBorder="1"/>
    <xf numFmtId="0" fontId="21" fillId="4" borderId="10" xfId="1" applyFont="1" applyFill="1" applyBorder="1"/>
    <xf numFmtId="0" fontId="21" fillId="4" borderId="10" xfId="0" applyFont="1" applyFill="1" applyBorder="1" applyAlignment="1">
      <alignment wrapText="1"/>
    </xf>
    <xf numFmtId="0" fontId="21" fillId="4" borderId="8" xfId="0" applyFont="1" applyFill="1" applyBorder="1"/>
    <xf numFmtId="0" fontId="0" fillId="4" borderId="1" xfId="0" applyFill="1" applyBorder="1" applyAlignment="1">
      <alignment horizontal="left"/>
    </xf>
    <xf numFmtId="0" fontId="21" fillId="4" borderId="3" xfId="0" applyFont="1" applyFill="1" applyBorder="1"/>
    <xf numFmtId="0" fontId="18" fillId="4" borderId="1" xfId="1" applyFill="1" applyBorder="1"/>
    <xf numFmtId="0" fontId="0" fillId="4" borderId="11" xfId="0" applyFill="1" applyBorder="1" applyAlignment="1">
      <alignment horizontal="left"/>
    </xf>
    <xf numFmtId="0" fontId="21" fillId="4" borderId="11" xfId="0" applyFont="1" applyFill="1" applyBorder="1" applyAlignment="1">
      <alignment horizontal="left"/>
    </xf>
    <xf numFmtId="0" fontId="18" fillId="4" borderId="1" xfId="1" applyFill="1" applyBorder="1" applyAlignment="1">
      <alignment wrapText="1"/>
    </xf>
    <xf numFmtId="0" fontId="21" fillId="4" borderId="7" xfId="0" applyFont="1" applyFill="1" applyBorder="1"/>
    <xf numFmtId="0" fontId="18" fillId="4" borderId="0" xfId="1" applyFill="1"/>
    <xf numFmtId="0" fontId="0" fillId="4" borderId="7" xfId="0" applyFill="1" applyBorder="1" applyAlignment="1">
      <alignment wrapText="1"/>
    </xf>
    <xf numFmtId="0" fontId="21" fillId="4" borderId="4" xfId="0" applyFont="1" applyFill="1" applyBorder="1"/>
    <xf numFmtId="0" fontId="0" fillId="4" borderId="3" xfId="0" applyFill="1" applyBorder="1"/>
    <xf numFmtId="0" fontId="0" fillId="4" borderId="13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21" fillId="4" borderId="6" xfId="0" applyFont="1" applyFill="1" applyBorder="1"/>
    <xf numFmtId="0" fontId="48" fillId="4" borderId="5" xfId="0" applyFont="1" applyFill="1" applyBorder="1" applyAlignment="1">
      <alignment wrapText="1"/>
    </xf>
    <xf numFmtId="0" fontId="0" fillId="4" borderId="16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21" fillId="4" borderId="17" xfId="0" applyFont="1" applyFill="1" applyBorder="1"/>
    <xf numFmtId="0" fontId="49" fillId="4" borderId="0" xfId="0" applyFont="1" applyFill="1" applyAlignment="1">
      <alignment wrapText="1"/>
    </xf>
    <xf numFmtId="0" fontId="0" fillId="4" borderId="3" xfId="0" applyFill="1" applyBorder="1" applyAlignment="1">
      <alignment wrapText="1"/>
    </xf>
    <xf numFmtId="0" fontId="0" fillId="4" borderId="11" xfId="0" applyFill="1" applyBorder="1"/>
    <xf numFmtId="0" fontId="0" fillId="4" borderId="1" xfId="1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3" xfId="0" applyFill="1" applyBorder="1"/>
    <xf numFmtId="0" fontId="0" fillId="5" borderId="1" xfId="0" applyFill="1" applyBorder="1" applyAlignment="1">
      <alignment horizontal="left" wrapText="1"/>
    </xf>
    <xf numFmtId="0" fontId="18" fillId="5" borderId="1" xfId="1" applyFill="1" applyBorder="1" applyAlignment="1">
      <alignment horizontal="left"/>
    </xf>
    <xf numFmtId="0" fontId="18" fillId="5" borderId="1" xfId="1" applyFill="1" applyBorder="1" applyAlignment="1">
      <alignment horizontal="left" wrapText="1"/>
    </xf>
    <xf numFmtId="0" fontId="0" fillId="5" borderId="11" xfId="0" applyFill="1" applyBorder="1" applyAlignment="1">
      <alignment horizontal="left"/>
    </xf>
    <xf numFmtId="0" fontId="18" fillId="5" borderId="11" xfId="0" applyFont="1" applyFill="1" applyBorder="1" applyAlignment="1">
      <alignment horizontal="left"/>
    </xf>
    <xf numFmtId="0" fontId="0" fillId="5" borderId="1" xfId="0" applyFill="1" applyBorder="1" applyAlignment="1">
      <alignment wrapText="1"/>
    </xf>
    <xf numFmtId="0" fontId="18" fillId="5" borderId="1" xfId="1" applyFill="1" applyBorder="1" applyAlignment="1">
      <alignment wrapText="1"/>
    </xf>
    <xf numFmtId="0" fontId="0" fillId="5" borderId="5" xfId="0" applyFill="1" applyBorder="1"/>
    <xf numFmtId="0" fontId="0" fillId="5" borderId="5" xfId="0" applyFill="1" applyBorder="1" applyAlignment="1">
      <alignment wrapText="1"/>
    </xf>
    <xf numFmtId="0" fontId="18" fillId="5" borderId="1" xfId="1" applyFill="1" applyBorder="1"/>
    <xf numFmtId="0" fontId="0" fillId="5" borderId="7" xfId="0" applyFill="1" applyBorder="1"/>
    <xf numFmtId="0" fontId="0" fillId="5" borderId="3" xfId="0" applyFill="1" applyBorder="1" applyAlignment="1">
      <alignment wrapText="1"/>
    </xf>
    <xf numFmtId="0" fontId="0" fillId="5" borderId="4" xfId="0" applyFill="1" applyBorder="1"/>
    <xf numFmtId="0" fontId="0" fillId="5" borderId="13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0" xfId="0" applyFill="1"/>
    <xf numFmtId="0" fontId="0" fillId="6" borderId="3" xfId="0" applyFill="1" applyBorder="1"/>
    <xf numFmtId="0" fontId="0" fillId="6" borderId="3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21" fillId="6" borderId="11" xfId="1" applyFont="1" applyFill="1" applyBorder="1" applyAlignment="1">
      <alignment horizontal="left"/>
    </xf>
    <xf numFmtId="0" fontId="21" fillId="6" borderId="11" xfId="0" applyFont="1" applyFill="1" applyBorder="1" applyAlignment="1">
      <alignment horizontal="left"/>
    </xf>
    <xf numFmtId="0" fontId="0" fillId="6" borderId="7" xfId="0" applyFill="1" applyBorder="1"/>
    <xf numFmtId="0" fontId="0" fillId="6" borderId="1" xfId="0" applyFill="1" applyBorder="1" applyAlignment="1">
      <alignment wrapText="1"/>
    </xf>
    <xf numFmtId="0" fontId="0" fillId="6" borderId="12" xfId="0" applyFill="1" applyBorder="1"/>
    <xf numFmtId="0" fontId="21" fillId="6" borderId="1" xfId="1" applyFont="1" applyFill="1" applyBorder="1"/>
    <xf numFmtId="0" fontId="21" fillId="6" borderId="0" xfId="1" applyFont="1" applyFill="1"/>
    <xf numFmtId="0" fontId="0" fillId="6" borderId="4" xfId="0" applyFill="1" applyBorder="1"/>
    <xf numFmtId="0" fontId="18" fillId="6" borderId="1" xfId="1" applyFill="1" applyBorder="1"/>
    <xf numFmtId="0" fontId="21" fillId="0" borderId="9" xfId="0" applyFont="1" applyBorder="1"/>
    <xf numFmtId="0" fontId="21" fillId="0" borderId="1" xfId="0" applyFont="1" applyBorder="1"/>
    <xf numFmtId="0" fontId="0" fillId="6" borderId="1" xfId="0" applyFill="1" applyBorder="1" applyAlignment="1">
      <alignment horizontal="left" wrapText="1"/>
    </xf>
    <xf numFmtId="0" fontId="50" fillId="6" borderId="0" xfId="0" applyFont="1" applyFill="1"/>
    <xf numFmtId="0" fontId="51" fillId="6" borderId="1" xfId="1" applyFont="1" applyFill="1" applyBorder="1"/>
    <xf numFmtId="0" fontId="0" fillId="6" borderId="5" xfId="0" applyFill="1" applyBorder="1" applyAlignment="1">
      <alignment wrapText="1"/>
    </xf>
    <xf numFmtId="0" fontId="0" fillId="6" borderId="9" xfId="0" applyFill="1" applyBorder="1"/>
    <xf numFmtId="0" fontId="18" fillId="6" borderId="0" xfId="1" applyFill="1" applyAlignment="1">
      <alignment wrapText="1"/>
    </xf>
    <xf numFmtId="0" fontId="0" fillId="2" borderId="1" xfId="0" quotePrefix="1" applyFill="1" applyBorder="1"/>
    <xf numFmtId="0" fontId="0" fillId="3" borderId="1" xfId="0" quotePrefix="1" applyFill="1" applyBorder="1" applyAlignment="1">
      <alignment horizontal="left"/>
    </xf>
    <xf numFmtId="0" fontId="0" fillId="3" borderId="3" xfId="0" quotePrefix="1" applyFill="1" applyBorder="1"/>
    <xf numFmtId="0" fontId="0" fillId="3" borderId="1" xfId="0" quotePrefix="1" applyFill="1" applyBorder="1"/>
    <xf numFmtId="0" fontId="0" fillId="4" borderId="1" xfId="0" quotePrefix="1" applyFill="1" applyBorder="1"/>
    <xf numFmtId="0" fontId="0" fillId="5" borderId="5" xfId="0" quotePrefix="1" applyFill="1" applyBorder="1"/>
    <xf numFmtId="0" fontId="0" fillId="5" borderId="1" xfId="0" quotePrefix="1" applyFill="1" applyBorder="1"/>
    <xf numFmtId="0" fontId="0" fillId="6" borderId="9" xfId="0" quotePrefix="1" applyFill="1" applyBorder="1" applyAlignment="1">
      <alignment horizontal="left"/>
    </xf>
    <xf numFmtId="0" fontId="0" fillId="6" borderId="1" xfId="0" quotePrefix="1" applyFill="1" applyBorder="1"/>
    <xf numFmtId="0" fontId="30" fillId="2" borderId="1" xfId="0" quotePrefix="1" applyFont="1" applyFill="1" applyBorder="1"/>
    <xf numFmtId="0" fontId="30" fillId="3" borderId="1" xfId="0" quotePrefix="1" applyFont="1" applyFill="1" applyBorder="1" applyAlignment="1">
      <alignment horizontal="left"/>
    </xf>
    <xf numFmtId="0" fontId="30" fillId="3" borderId="3" xfId="0" quotePrefix="1" applyFont="1" applyFill="1" applyBorder="1"/>
    <xf numFmtId="0" fontId="30" fillId="3" borderId="1" xfId="0" quotePrefix="1" applyFont="1" applyFill="1" applyBorder="1"/>
    <xf numFmtId="0" fontId="28" fillId="4" borderId="1" xfId="0" quotePrefix="1" applyFont="1" applyFill="1" applyBorder="1"/>
    <xf numFmtId="0" fontId="30" fillId="4" borderId="4" xfId="0" quotePrefix="1" applyFont="1" applyFill="1" applyBorder="1"/>
    <xf numFmtId="0" fontId="5" fillId="5" borderId="5" xfId="0" quotePrefix="1" applyFont="1" applyFill="1" applyBorder="1"/>
    <xf numFmtId="0" fontId="5" fillId="5" borderId="1" xfId="0" quotePrefix="1" applyFont="1" applyFill="1" applyBorder="1"/>
    <xf numFmtId="0" fontId="5" fillId="6" borderId="9" xfId="0" quotePrefix="1" applyFont="1" applyFill="1" applyBorder="1" applyAlignment="1">
      <alignment horizontal="right"/>
    </xf>
    <xf numFmtId="0" fontId="5" fillId="6" borderId="1" xfId="0" quotePrefix="1" applyFont="1" applyFill="1" applyBorder="1" applyAlignment="1">
      <alignment horizontal="right"/>
    </xf>
    <xf numFmtId="0" fontId="3" fillId="6" borderId="11" xfId="0" quotePrefix="1" applyFont="1" applyFill="1" applyBorder="1"/>
    <xf numFmtId="0" fontId="3" fillId="6" borderId="13" xfId="0" quotePrefix="1" applyFont="1" applyFill="1" applyBorder="1"/>
    <xf numFmtId="0" fontId="5" fillId="4" borderId="3" xfId="0" quotePrefix="1" applyFont="1" applyFill="1" applyBorder="1"/>
    <xf numFmtId="0" fontId="5" fillId="2" borderId="1" xfId="0" quotePrefix="1" applyFont="1" applyFill="1" applyBorder="1"/>
    <xf numFmtId="0" fontId="5" fillId="3" borderId="1" xfId="0" quotePrefix="1" applyFont="1" applyFill="1" applyBorder="1" applyAlignment="1">
      <alignment horizontal="left"/>
    </xf>
    <xf numFmtId="0" fontId="5" fillId="3" borderId="1" xfId="0" quotePrefix="1" applyFont="1" applyFill="1" applyBorder="1"/>
    <xf numFmtId="0" fontId="5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wrapText="1"/>
    </xf>
    <xf numFmtId="0" fontId="10" fillId="9" borderId="1" xfId="1" applyFont="1" applyFill="1" applyBorder="1"/>
    <xf numFmtId="0" fontId="10" fillId="9" borderId="1" xfId="0" applyFont="1" applyFill="1" applyBorder="1" applyAlignment="1">
      <alignment horizontal="left"/>
    </xf>
    <xf numFmtId="0" fontId="5" fillId="6" borderId="16" xfId="0" applyFont="1" applyFill="1" applyBorder="1" applyAlignment="1">
      <alignment horizontal="right" wrapText="1"/>
    </xf>
    <xf numFmtId="0" fontId="5" fillId="6" borderId="24" xfId="0" applyFont="1" applyFill="1" applyBorder="1" applyAlignment="1">
      <alignment horizontal="right"/>
    </xf>
    <xf numFmtId="0" fontId="5" fillId="6" borderId="9" xfId="0" applyFont="1" applyFill="1" applyBorder="1" applyAlignment="1">
      <alignment horizontal="right" wrapText="1"/>
    </xf>
    <xf numFmtId="0" fontId="10" fillId="6" borderId="9" xfId="1" applyFont="1" applyFill="1" applyBorder="1" applyAlignment="1">
      <alignment horizontal="right"/>
    </xf>
    <xf numFmtId="0" fontId="5" fillId="6" borderId="14" xfId="0" applyFont="1" applyFill="1" applyBorder="1" applyAlignment="1">
      <alignment horizontal="right"/>
    </xf>
    <xf numFmtId="0" fontId="5" fillId="6" borderId="19" xfId="0" applyFont="1" applyFill="1" applyBorder="1" applyAlignment="1">
      <alignment horizontal="right"/>
    </xf>
    <xf numFmtId="0" fontId="5" fillId="9" borderId="1" xfId="0" applyFont="1" applyFill="1" applyBorder="1"/>
    <xf numFmtId="0" fontId="10" fillId="9" borderId="1" xfId="1" applyFont="1" applyFill="1" applyBorder="1" applyAlignment="1">
      <alignment horizontal="left"/>
    </xf>
    <xf numFmtId="0" fontId="5" fillId="6" borderId="24" xfId="0" applyFont="1" applyFill="1" applyBorder="1"/>
    <xf numFmtId="0" fontId="5" fillId="6" borderId="24" xfId="0" quotePrefix="1" applyFont="1" applyFill="1" applyBorder="1" applyAlignment="1">
      <alignment horizontal="right"/>
    </xf>
    <xf numFmtId="0" fontId="5" fillId="6" borderId="9" xfId="0" applyFont="1" applyFill="1" applyBorder="1"/>
    <xf numFmtId="0" fontId="5" fillId="6" borderId="19" xfId="0" quotePrefix="1" applyFont="1" applyFill="1" applyBorder="1" applyAlignment="1">
      <alignment horizontal="right"/>
    </xf>
    <xf numFmtId="0" fontId="52" fillId="0" borderId="0" xfId="0" applyFont="1"/>
    <xf numFmtId="0" fontId="4" fillId="0" borderId="3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5" fillId="6" borderId="8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5" fillId="6" borderId="16" xfId="0" applyFont="1" applyFill="1" applyBorder="1" applyAlignment="1">
      <alignment horizontal="right"/>
    </xf>
    <xf numFmtId="0" fontId="5" fillId="10" borderId="1" xfId="0" applyFont="1" applyFill="1" applyBorder="1"/>
    <xf numFmtId="0" fontId="5" fillId="10" borderId="5" xfId="0" applyFont="1" applyFill="1" applyBorder="1" applyAlignment="1">
      <alignment horizontal="left"/>
    </xf>
    <xf numFmtId="0" fontId="5" fillId="10" borderId="1" xfId="0" applyFont="1" applyFill="1" applyBorder="1" applyAlignment="1">
      <alignment wrapText="1"/>
    </xf>
    <xf numFmtId="0" fontId="5" fillId="10" borderId="0" xfId="0" applyFont="1" applyFill="1"/>
    <xf numFmtId="0" fontId="7" fillId="10" borderId="1" xfId="0" applyFont="1" applyFill="1" applyBorder="1"/>
    <xf numFmtId="0" fontId="7" fillId="4" borderId="1" xfId="1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53" fillId="0" borderId="6" xfId="0" applyFont="1" applyBorder="1"/>
    <xf numFmtId="0" fontId="54" fillId="0" borderId="6" xfId="0" applyFont="1" applyBorder="1"/>
    <xf numFmtId="0" fontId="53" fillId="0" borderId="10" xfId="0" applyFont="1" applyBorder="1"/>
    <xf numFmtId="0" fontId="53" fillId="0" borderId="8" xfId="0" applyFont="1" applyBorder="1"/>
    <xf numFmtId="0" fontId="5" fillId="0" borderId="10" xfId="0" applyFont="1" applyBorder="1"/>
    <xf numFmtId="0" fontId="53" fillId="0" borderId="4" xfId="0" applyFont="1" applyBorder="1"/>
    <xf numFmtId="0" fontId="53" fillId="0" borderId="1" xfId="0" applyFont="1" applyBorder="1"/>
    <xf numFmtId="0" fontId="53" fillId="0" borderId="3" xfId="0" applyFont="1" applyBorder="1"/>
    <xf numFmtId="0" fontId="54" fillId="0" borderId="4" xfId="0" applyFont="1" applyBorder="1"/>
    <xf numFmtId="0" fontId="53" fillId="0" borderId="0" xfId="0" applyFont="1"/>
    <xf numFmtId="0" fontId="53" fillId="0" borderId="5" xfId="0" applyFont="1" applyBorder="1"/>
    <xf numFmtId="0" fontId="53" fillId="0" borderId="13" xfId="0" applyFont="1" applyBorder="1"/>
    <xf numFmtId="0" fontId="53" fillId="0" borderId="12" xfId="0" applyFont="1" applyBorder="1"/>
    <xf numFmtId="0" fontId="53" fillId="0" borderId="11" xfId="0" applyFont="1" applyBorder="1"/>
    <xf numFmtId="0" fontId="53" fillId="0" borderId="7" xfId="0" applyFont="1" applyBorder="1"/>
    <xf numFmtId="0" fontId="53" fillId="0" borderId="19" xfId="0" applyFont="1" applyBorder="1"/>
    <xf numFmtId="0" fontId="5" fillId="9" borderId="11" xfId="0" applyFont="1" applyFill="1" applyBorder="1"/>
    <xf numFmtId="0" fontId="54" fillId="0" borderId="1" xfId="0" applyFont="1" applyBorder="1"/>
    <xf numFmtId="0" fontId="53" fillId="0" borderId="9" xfId="0" applyFont="1" applyBorder="1"/>
    <xf numFmtId="0" fontId="5" fillId="4" borderId="27" xfId="0" applyFont="1" applyFill="1" applyBorder="1" applyAlignment="1">
      <alignment wrapText="1"/>
    </xf>
    <xf numFmtId="0" fontId="5" fillId="10" borderId="38" xfId="0" applyFont="1" applyFill="1" applyBorder="1"/>
    <xf numFmtId="0" fontId="10" fillId="10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3" xfId="0" applyFont="1" applyFill="1" applyBorder="1"/>
    <xf numFmtId="0" fontId="7" fillId="4" borderId="0" xfId="0" applyFont="1" applyFill="1"/>
    <xf numFmtId="0" fontId="11" fillId="4" borderId="0" xfId="0" applyFont="1" applyFill="1"/>
    <xf numFmtId="0" fontId="7" fillId="9" borderId="1" xfId="0" applyFont="1" applyFill="1" applyBorder="1" applyAlignment="1">
      <alignment horizontal="left"/>
    </xf>
    <xf numFmtId="0" fontId="26" fillId="8" borderId="1" xfId="0" applyFont="1" applyFill="1" applyBorder="1"/>
    <xf numFmtId="0" fontId="7" fillId="5" borderId="1" xfId="1" applyFont="1" applyFill="1" applyBorder="1" applyAlignment="1">
      <alignment wrapText="1"/>
    </xf>
    <xf numFmtId="0" fontId="5" fillId="4" borderId="13" xfId="0" applyFont="1" applyFill="1" applyBorder="1" applyAlignment="1">
      <alignment horizontal="left"/>
    </xf>
    <xf numFmtId="0" fontId="5" fillId="3" borderId="20" xfId="0" applyFont="1" applyFill="1" applyBorder="1"/>
    <xf numFmtId="0" fontId="5" fillId="3" borderId="17" xfId="0" applyFont="1" applyFill="1" applyBorder="1"/>
    <xf numFmtId="0" fontId="5" fillId="10" borderId="10" xfId="0" applyFont="1" applyFill="1" applyBorder="1"/>
    <xf numFmtId="0" fontId="5" fillId="3" borderId="0" xfId="0" applyFont="1" applyFill="1"/>
    <xf numFmtId="0" fontId="8" fillId="3" borderId="1" xfId="0" applyFont="1" applyFill="1" applyBorder="1" applyAlignment="1">
      <alignment wrapText="1"/>
    </xf>
    <xf numFmtId="0" fontId="7" fillId="4" borderId="1" xfId="0" applyFont="1" applyFill="1" applyBorder="1"/>
    <xf numFmtId="0" fontId="7" fillId="9" borderId="1" xfId="0" applyFont="1" applyFill="1" applyBorder="1"/>
    <xf numFmtId="0" fontId="11" fillId="9" borderId="1" xfId="0" applyFont="1" applyFill="1" applyBorder="1"/>
    <xf numFmtId="0" fontId="5" fillId="8" borderId="1" xfId="0" applyFont="1" applyFill="1" applyBorder="1" applyAlignment="1">
      <alignment horizontal="left"/>
    </xf>
    <xf numFmtId="0" fontId="7" fillId="8" borderId="1" xfId="0" applyFont="1" applyFill="1" applyBorder="1"/>
    <xf numFmtId="0" fontId="11" fillId="8" borderId="1" xfId="0" applyFont="1" applyFill="1" applyBorder="1"/>
    <xf numFmtId="16" fontId="2" fillId="0" borderId="0" xfId="0" applyNumberFormat="1" applyFont="1"/>
    <xf numFmtId="0" fontId="53" fillId="0" borderId="21" xfId="0" applyFont="1" applyBorder="1"/>
    <xf numFmtId="0" fontId="5" fillId="6" borderId="6" xfId="0" applyFont="1" applyFill="1" applyBorder="1"/>
    <xf numFmtId="0" fontId="12" fillId="5" borderId="1" xfId="1" applyFont="1" applyFill="1" applyBorder="1" applyAlignment="1"/>
    <xf numFmtId="0" fontId="5" fillId="0" borderId="38" xfId="0" applyFont="1" applyBorder="1"/>
    <xf numFmtId="0" fontId="5" fillId="8" borderId="1" xfId="0" applyFont="1" applyFill="1" applyBorder="1"/>
    <xf numFmtId="0" fontId="12" fillId="5" borderId="1" xfId="1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/>
    </xf>
    <xf numFmtId="0" fontId="7" fillId="0" borderId="1" xfId="0" applyFont="1" applyBorder="1"/>
    <xf numFmtId="0" fontId="5" fillId="10" borderId="13" xfId="0" applyFont="1" applyFill="1" applyBorder="1"/>
    <xf numFmtId="0" fontId="5" fillId="10" borderId="1" xfId="0" applyFont="1" applyFill="1" applyBorder="1" applyAlignment="1">
      <alignment horizontal="left"/>
    </xf>
    <xf numFmtId="0" fontId="5" fillId="10" borderId="3" xfId="0" quotePrefix="1" applyFont="1" applyFill="1" applyBorder="1"/>
    <xf numFmtId="0" fontId="5" fillId="2" borderId="3" xfId="0" applyFont="1" applyFill="1" applyBorder="1" applyAlignment="1">
      <alignment wrapText="1"/>
    </xf>
    <xf numFmtId="0" fontId="5" fillId="3" borderId="13" xfId="0" applyFont="1" applyFill="1" applyBorder="1"/>
    <xf numFmtId="0" fontId="5" fillId="3" borderId="12" xfId="0" applyFont="1" applyFill="1" applyBorder="1"/>
    <xf numFmtId="0" fontId="10" fillId="3" borderId="1" xfId="0" applyFont="1" applyFill="1" applyBorder="1"/>
    <xf numFmtId="0" fontId="10" fillId="3" borderId="1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31" fillId="0" borderId="22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1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64"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9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0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fill>
        <patternFill patternType="solid">
          <bgColor theme="8" tint="0.79995117038483843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sz val="16"/>
        <name val="Aptos Display"/>
        <family val="2"/>
        <scheme val="none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numFmt numFmtId="0" formatCode="General"/>
      <fill>
        <patternFill patternType="solid">
          <bgColor theme="0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FFFF99"/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7"/>
      <queryTableField id="6" name="Column6" tableColumnId="6"/>
      <queryTableField id="7" name="Column8" tableColumnId="8"/>
      <queryTableField id="8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idzQuest___November_10____Check_Ins_Report__1" displayName="KidzQuest___November_10____Check_Ins_Report__1" ref="B1:I131" tableType="queryTable" totalsRowShown="0">
  <autoFilter ref="B1:I1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uniqueName="1" name="Column1" queryTableFieldId="1" dataDxfId="63"/>
    <tableColumn id="2" xr3:uid="{00000000-0010-0000-0000-000002000000}" uniqueName="2" name="Column2" queryTableFieldId="2" dataDxfId="62"/>
    <tableColumn id="3" xr3:uid="{00000000-0010-0000-0000-000003000000}" uniqueName="3" name="Column3" queryTableFieldId="3" dataDxfId="61"/>
    <tableColumn id="4" xr3:uid="{00000000-0010-0000-0000-000004000000}" uniqueName="4" name="Column4" queryTableFieldId="4" dataDxfId="60"/>
    <tableColumn id="7" xr3:uid="{00000000-0010-0000-0000-000007000000}" uniqueName="7" name="Column5" queryTableFieldId="5" dataDxfId="59"/>
    <tableColumn id="6" xr3:uid="{00000000-0010-0000-0000-000006000000}" uniqueName="6" name="Column6" queryTableFieldId="6" dataDxfId="58"/>
    <tableColumn id="8" xr3:uid="{00000000-0010-0000-0000-000008000000}" uniqueName="8" name="Column8" queryTableFieldId="7" dataDxfId="57"/>
    <tableColumn id="5" xr3:uid="{00000000-0010-0000-0000-000005000000}" uniqueName="5" name="Column9" queryTableFieldId="8" dataDxfId="5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2:AB9" totalsRowCount="1">
  <sortState xmlns:xlrd2="http://schemas.microsoft.com/office/spreadsheetml/2017/richdata2" ref="A2:AB8">
    <sortCondition ref="B3:B7"/>
  </sortState>
  <tableColumns count="28">
    <tableColumn id="1" xr3:uid="{00000000-0010-0000-0100-000001000000}" name="No" totalsRowFunction="custom" dataDxfId="55">
      <calculatedColumnFormula>A2+1</calculatedColumnFormula>
      <totalsRowFormula>A8+1</totalsRowFormula>
    </tableColumn>
    <tableColumn id="2" xr3:uid="{00000000-0010-0000-0100-000002000000}" name="First Name" totalsRowLabel="Hải Anh" dataDxfId="54"/>
    <tableColumn id="3" xr3:uid="{00000000-0010-0000-0100-000003000000}" name="Last Name" totalsRowLabel="Đặng" dataDxfId="53"/>
    <tableColumn id="4" xr3:uid="{00000000-0010-0000-0100-000004000000}" name="Gender" totalsRowLabel="Female" dataDxfId="52"/>
    <tableColumn id="5" xr3:uid="{00000000-0010-0000-0100-000005000000}" name="Primary Contact Name" totalsRowLabel="Nguyễn Khánh Chi" dataDxfId="51"/>
    <tableColumn id="6" xr3:uid="{00000000-0010-0000-0100-000006000000}" name="Email " totalsRowLabel="khanhchi0708@gmail.com" dataDxfId="50"/>
    <tableColumn id="7" xr3:uid="{00000000-0010-0000-0100-000007000000}" name="Contact #" totalsRowLabel="982077882" dataDxfId="49"/>
    <tableColumn id="8" xr3:uid="{00000000-0010-0000-0100-000008000000}" name="Location" totalsRowLabel="Trailblazers" dataDxfId="48"/>
    <tableColumn id="9" xr3:uid="{00000000-0010-0000-0100-000009000000}" name="6-Jul" dataDxfId="47"/>
    <tableColumn id="10" xr3:uid="{00000000-0010-0000-0100-00000A000000}" name="13-Jul" dataDxfId="46"/>
    <tableColumn id="11" xr3:uid="{00000000-0010-0000-0100-00000B000000}" name="20-Jul" dataDxfId="45"/>
    <tableColumn id="12" xr3:uid="{00000000-0010-0000-0100-00000C000000}" name="27-Jul" dataDxfId="44"/>
    <tableColumn id="13" xr3:uid="{00000000-0010-0000-0100-00000D000000}" name="3-Aug" dataDxfId="43"/>
    <tableColumn id="14" xr3:uid="{00000000-0010-0000-0100-00000E000000}" name="17-Aug" totalsRowLabel="yes" dataDxfId="42"/>
    <tableColumn id="15" xr3:uid="{00000000-0010-0000-0100-00000F000000}" name="24-Aug" totalsRowLabel="yes" dataDxfId="41"/>
    <tableColumn id="16" xr3:uid="{00000000-0010-0000-0100-000010000000}" name="31-Aug" dataDxfId="40"/>
    <tableColumn id="17" xr3:uid="{00000000-0010-0000-0100-000011000000}" name="7-Sep" dataDxfId="39"/>
    <tableColumn id="18" xr3:uid="{00000000-0010-0000-0100-000012000000}" name="14-Sep" dataDxfId="38"/>
    <tableColumn id="19" xr3:uid="{00000000-0010-0000-0100-000013000000}" name="21-Sep" dataDxfId="37"/>
    <tableColumn id="20" xr3:uid="{00000000-0010-0000-0100-000014000000}" name="28-Sep" dataDxfId="36"/>
    <tableColumn id="21" xr3:uid="{00000000-0010-0000-0100-000015000000}" name="5-Oct" dataDxfId="35"/>
    <tableColumn id="22" xr3:uid="{00000000-0010-0000-0100-000016000000}" name="12-Oct" dataDxfId="34"/>
    <tableColumn id="23" xr3:uid="{00000000-0010-0000-0100-000017000000}" name="19-Oct" dataDxfId="33"/>
    <tableColumn id="24" xr3:uid="{00000000-0010-0000-0100-000018000000}" name="26-Oct" dataDxfId="32"/>
    <tableColumn id="25" xr3:uid="{00000000-0010-0000-0100-000019000000}" name="2-Nov" dataDxfId="31"/>
    <tableColumn id="26" xr3:uid="{00000000-0010-0000-0100-00001A000000}" name="9-Nov" dataDxfId="30"/>
    <tableColumn id="27" xr3:uid="{00000000-0010-0000-0100-00001B000000}" name="16-Nov" dataDxfId="29"/>
    <tableColumn id="28" xr3:uid="{00000000-0010-0000-0100-00001C000000}" name="23-Nov" dataDxfId="2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3:AB13" totalsRowCount="1">
  <sortState xmlns:xlrd2="http://schemas.microsoft.com/office/spreadsheetml/2017/richdata2" ref="A3:AB12">
    <sortCondition ref="B4:B11"/>
  </sortState>
  <tableColumns count="28">
    <tableColumn id="1" xr3:uid="{00000000-0010-0000-0200-000001000000}" name="No" totalsRowFunction="custom" dataDxfId="27">
      <calculatedColumnFormula>A3+1</calculatedColumnFormula>
      <totalsRowFormula>A12+1</totalsRowFormula>
    </tableColumn>
    <tableColumn id="2" xr3:uid="{00000000-0010-0000-0200-000002000000}" name="First Name" totalsRowLabel="Julia" dataDxfId="26"/>
    <tableColumn id="3" xr3:uid="{00000000-0010-0000-0200-000003000000}" name="Last Name" totalsRowLabel="Trần" dataDxfId="25"/>
    <tableColumn id="4" xr3:uid="{00000000-0010-0000-0200-000004000000}" name="Gender" totalsRowLabel="Female " dataDxfId="24"/>
    <tableColumn id="5" xr3:uid="{00000000-0010-0000-0200-000005000000}" name="Primary Contact Name" totalsRowLabel="Tran Thanh Xuan" dataDxfId="23"/>
    <tableColumn id="6" xr3:uid="{00000000-0010-0000-0200-000006000000}" name="Email " totalsRowLabel="tranthanhxuan83tmh@gmail.com" dataDxfId="22"/>
    <tableColumn id="7" xr3:uid="{00000000-0010-0000-0200-000007000000}" name="Contact #" totalsRowLabel="0936 655 115" dataDxfId="21"/>
    <tableColumn id="8" xr3:uid="{00000000-0010-0000-0200-000008000000}" name="Location" totalsRowLabel="Pathfinders " dataDxfId="20"/>
    <tableColumn id="9" xr3:uid="{00000000-0010-0000-0200-000009000000}" name="6-Jul" totalsRowLabel="yes" dataDxfId="19"/>
    <tableColumn id="11" xr3:uid="{00000000-0010-0000-0200-00000B000000}" name="13-Jul" totalsRowLabel="yes" dataDxfId="18"/>
    <tableColumn id="12" xr3:uid="{00000000-0010-0000-0200-00000C000000}" name="20-Jul" totalsRowLabel="yes" dataDxfId="17"/>
    <tableColumn id="13" xr3:uid="{00000000-0010-0000-0200-00000D000000}" name="27-Jul" totalsRowLabel="yes" dataDxfId="16"/>
    <tableColumn id="10" xr3:uid="{00000000-0010-0000-0200-00000A000000}" name="3-Aug" dataDxfId="15"/>
    <tableColumn id="14" xr3:uid="{00000000-0010-0000-0200-00000E000000}" name="17-Aug" totalsRowLabel="yes" dataDxfId="14"/>
    <tableColumn id="15" xr3:uid="{00000000-0010-0000-0200-00000F000000}" name="24-Aug" dataDxfId="13"/>
    <tableColumn id="16" xr3:uid="{00000000-0010-0000-0200-000010000000}" name="31-Aug" dataDxfId="12"/>
    <tableColumn id="17" xr3:uid="{00000000-0010-0000-0200-000011000000}" name="7-Sep" dataDxfId="11"/>
    <tableColumn id="18" xr3:uid="{00000000-0010-0000-0200-000012000000}" name="14-Sep" dataDxfId="10"/>
    <tableColumn id="19" xr3:uid="{00000000-0010-0000-0200-000013000000}" name="21-Sep" totalsRowLabel="yes" dataDxfId="9"/>
    <tableColumn id="20" xr3:uid="{00000000-0010-0000-0200-000014000000}" name="28-Sep" dataDxfId="8"/>
    <tableColumn id="21" xr3:uid="{00000000-0010-0000-0200-000015000000}" name="5-Oct" dataDxfId="7"/>
    <tableColumn id="22" xr3:uid="{00000000-0010-0000-0200-000016000000}" name="12-Oct" dataDxfId="6"/>
    <tableColumn id="23" xr3:uid="{00000000-0010-0000-0200-000017000000}" name="19-Oct" totalsRowLabel="yes" dataDxfId="5"/>
    <tableColumn id="24" xr3:uid="{00000000-0010-0000-0200-000018000000}" name="26-Oct" dataDxfId="4"/>
    <tableColumn id="25" xr3:uid="{00000000-0010-0000-0200-000019000000}" name="2-Nov" dataDxfId="3"/>
    <tableColumn id="26" xr3:uid="{00000000-0010-0000-0200-00001A000000}" name="9-Nov" dataDxfId="2"/>
    <tableColumn id="27" xr3:uid="{00000000-0010-0000-0200-00001B000000}" name="16-Nov" dataDxfId="1"/>
    <tableColumn id="28" xr3:uid="{00000000-0010-0000-0200-00001C000000}" name="23-Nov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mhardegree@gmail.com" TargetMode="External"/><Relationship Id="rId18" Type="http://schemas.openxmlformats.org/officeDocument/2006/relationships/hyperlink" Target="mailto:11denness@gmail.com" TargetMode="External"/><Relationship Id="rId26" Type="http://schemas.openxmlformats.org/officeDocument/2006/relationships/hyperlink" Target="mailto:715phamily@gmail.com" TargetMode="External"/><Relationship Id="rId39" Type="http://schemas.openxmlformats.org/officeDocument/2006/relationships/hyperlink" Target="mailto:thuongpham20152018@gmail.com" TargetMode="External"/><Relationship Id="rId21" Type="http://schemas.openxmlformats.org/officeDocument/2006/relationships/hyperlink" Target="mailto:mafeployola79@gmail.com" TargetMode="External"/><Relationship Id="rId34" Type="http://schemas.openxmlformats.org/officeDocument/2006/relationships/hyperlink" Target="mailto:philip.tinker@gmail.com" TargetMode="External"/><Relationship Id="rId42" Type="http://schemas.openxmlformats.org/officeDocument/2006/relationships/hyperlink" Target="mailto:yvette.huisamen@gmail.com" TargetMode="External"/><Relationship Id="rId47" Type="http://schemas.openxmlformats.org/officeDocument/2006/relationships/hyperlink" Target="mailto:kimplus83@gmail.com" TargetMode="External"/><Relationship Id="rId50" Type="http://schemas.openxmlformats.org/officeDocument/2006/relationships/hyperlink" Target="mailto:cmariekugler@gmail.com" TargetMode="External"/><Relationship Id="rId55" Type="http://schemas.openxmlformats.org/officeDocument/2006/relationships/hyperlink" Target="mailto:vubachlien@gmail.com" TargetMode="External"/><Relationship Id="rId7" Type="http://schemas.openxmlformats.org/officeDocument/2006/relationships/hyperlink" Target="mailto:mailboxjohanna@gmail.com" TargetMode="External"/><Relationship Id="rId2" Type="http://schemas.openxmlformats.org/officeDocument/2006/relationships/hyperlink" Target="mailto:tomi@hif.vn" TargetMode="External"/><Relationship Id="rId16" Type="http://schemas.openxmlformats.org/officeDocument/2006/relationships/hyperlink" Target="mailto:tnickson111@gmail.com" TargetMode="External"/><Relationship Id="rId29" Type="http://schemas.openxmlformats.org/officeDocument/2006/relationships/hyperlink" Target="mailto:letan711@gmail.com" TargetMode="External"/><Relationship Id="rId11" Type="http://schemas.openxmlformats.org/officeDocument/2006/relationships/hyperlink" Target="mailto:zinainjx@gmail.com" TargetMode="External"/><Relationship Id="rId24" Type="http://schemas.openxmlformats.org/officeDocument/2006/relationships/hyperlink" Target="mailto:princejay4014@gmail.com" TargetMode="External"/><Relationship Id="rId32" Type="http://schemas.openxmlformats.org/officeDocument/2006/relationships/hyperlink" Target="mailto:quantity01701@gmail.com" TargetMode="External"/><Relationship Id="rId37" Type="http://schemas.openxmlformats.org/officeDocument/2006/relationships/hyperlink" Target="mailto:vkpo.jtorres10@gmail.com" TargetMode="External"/><Relationship Id="rId40" Type="http://schemas.openxmlformats.org/officeDocument/2006/relationships/hyperlink" Target="mailto:hollamydeella@gmail.com" TargetMode="External"/><Relationship Id="rId45" Type="http://schemas.openxmlformats.org/officeDocument/2006/relationships/hyperlink" Target="mailto:terry090769@gmail.com" TargetMode="External"/><Relationship Id="rId53" Type="http://schemas.openxmlformats.org/officeDocument/2006/relationships/hyperlink" Target="mailto:philip.tinker@gmail.com" TargetMode="External"/><Relationship Id="rId5" Type="http://schemas.openxmlformats.org/officeDocument/2006/relationships/hyperlink" Target="mailto:beingtimothy@gmail.com" TargetMode="External"/><Relationship Id="rId10" Type="http://schemas.openxmlformats.org/officeDocument/2006/relationships/hyperlink" Target="mailto:lldenness@gmail.com" TargetMode="External"/><Relationship Id="rId19" Type="http://schemas.openxmlformats.org/officeDocument/2006/relationships/hyperlink" Target="mailto:tanya.tiemeyer@gmail.com" TargetMode="External"/><Relationship Id="rId31" Type="http://schemas.openxmlformats.org/officeDocument/2006/relationships/hyperlink" Target="mailto:caovanlungpeter@gmail.com" TargetMode="External"/><Relationship Id="rId44" Type="http://schemas.openxmlformats.org/officeDocument/2006/relationships/hyperlink" Target="mailto:nhelmer26@gmail.com" TargetMode="External"/><Relationship Id="rId52" Type="http://schemas.openxmlformats.org/officeDocument/2006/relationships/hyperlink" Target="mailto:ttayuka@hotmail.com" TargetMode="External"/><Relationship Id="rId4" Type="http://schemas.openxmlformats.org/officeDocument/2006/relationships/hyperlink" Target="mailto:kanyidoto@yahoo.com" TargetMode="External"/><Relationship Id="rId9" Type="http://schemas.openxmlformats.org/officeDocument/2006/relationships/hyperlink" Target="mailto:lena.zt03@gmail.com" TargetMode="External"/><Relationship Id="rId14" Type="http://schemas.openxmlformats.org/officeDocument/2006/relationships/hyperlink" Target="mailto:grace.brannon@gmail.com" TargetMode="External"/><Relationship Id="rId22" Type="http://schemas.openxmlformats.org/officeDocument/2006/relationships/hyperlink" Target="mailto:yvette.huisamen@gmail.com" TargetMode="External"/><Relationship Id="rId27" Type="http://schemas.openxmlformats.org/officeDocument/2006/relationships/hyperlink" Target="mailto:Zivvillezon@gmail.com" TargetMode="External"/><Relationship Id="rId30" Type="http://schemas.openxmlformats.org/officeDocument/2006/relationships/hyperlink" Target="mailto:khanhchi0708@gmail.com" TargetMode="External"/><Relationship Id="rId35" Type="http://schemas.openxmlformats.org/officeDocument/2006/relationships/hyperlink" Target="mailto:april.potot@gmail.com" TargetMode="External"/><Relationship Id="rId43" Type="http://schemas.openxmlformats.org/officeDocument/2006/relationships/hyperlink" Target="mailto:tranthanhxuan83tmh@gmail.com" TargetMode="External"/><Relationship Id="rId48" Type="http://schemas.openxmlformats.org/officeDocument/2006/relationships/hyperlink" Target="mailto:eera.park@gmail.com" TargetMode="External"/><Relationship Id="rId56" Type="http://schemas.openxmlformats.org/officeDocument/2006/relationships/table" Target="../tables/table1.xml"/><Relationship Id="rId8" Type="http://schemas.openxmlformats.org/officeDocument/2006/relationships/hyperlink" Target="mailto:hoanghiembm@gmail.com" TargetMode="External"/><Relationship Id="rId51" Type="http://schemas.openxmlformats.org/officeDocument/2006/relationships/hyperlink" Target="mailto:cmariekugler@gmail.com" TargetMode="External"/><Relationship Id="rId3" Type="http://schemas.openxmlformats.org/officeDocument/2006/relationships/hyperlink" Target="mailto:mhatet_conqueror@yahoo.com.ph" TargetMode="External"/><Relationship Id="rId12" Type="http://schemas.openxmlformats.org/officeDocument/2006/relationships/hyperlink" Target="mailto:rahelwu@psmail.com" TargetMode="External"/><Relationship Id="rId17" Type="http://schemas.openxmlformats.org/officeDocument/2006/relationships/hyperlink" Target="mailto:tamkt0903@gmail.com" TargetMode="External"/><Relationship Id="rId25" Type="http://schemas.openxmlformats.org/officeDocument/2006/relationships/hyperlink" Target="mailto:thangnv77@gmail.com" TargetMode="External"/><Relationship Id="rId33" Type="http://schemas.openxmlformats.org/officeDocument/2006/relationships/hyperlink" Target="mailto:davidchae7@gmail.com" TargetMode="External"/><Relationship Id="rId38" Type="http://schemas.openxmlformats.org/officeDocument/2006/relationships/hyperlink" Target="mailto:zinainjx@gmail.com" TargetMode="External"/><Relationship Id="rId46" Type="http://schemas.openxmlformats.org/officeDocument/2006/relationships/hyperlink" Target="mailto:seungwan.kim@gmail.com" TargetMode="External"/><Relationship Id="rId20" Type="http://schemas.openxmlformats.org/officeDocument/2006/relationships/hyperlink" Target="mailto:tanya.tiemeyer@gmail.com" TargetMode="External"/><Relationship Id="rId41" Type="http://schemas.openxmlformats.org/officeDocument/2006/relationships/hyperlink" Target="tel:0793%20094%20792" TargetMode="External"/><Relationship Id="rId54" Type="http://schemas.openxmlformats.org/officeDocument/2006/relationships/hyperlink" Target="mailto:naz.cairncross@gmail.com" TargetMode="External"/><Relationship Id="rId1" Type="http://schemas.openxmlformats.org/officeDocument/2006/relationships/hyperlink" Target="mailto:11denness@gmail.com" TargetMode="External"/><Relationship Id="rId6" Type="http://schemas.openxmlformats.org/officeDocument/2006/relationships/hyperlink" Target="mailto:kebukolah@gmail.com" TargetMode="External"/><Relationship Id="rId15" Type="http://schemas.openxmlformats.org/officeDocument/2006/relationships/hyperlink" Target="mailto:grace.brannon@gmail.com" TargetMode="External"/><Relationship Id="rId23" Type="http://schemas.openxmlformats.org/officeDocument/2006/relationships/hyperlink" Target="mailto:hungbui.penn@gmail.com" TargetMode="External"/><Relationship Id="rId28" Type="http://schemas.openxmlformats.org/officeDocument/2006/relationships/hyperlink" Target="mailto:mhatet_conqueror@yahoo.com.ph" TargetMode="External"/><Relationship Id="rId36" Type="http://schemas.openxmlformats.org/officeDocument/2006/relationships/hyperlink" Target="mailto:lynguyen18.work@gmail.com" TargetMode="External"/><Relationship Id="rId49" Type="http://schemas.openxmlformats.org/officeDocument/2006/relationships/hyperlink" Target="mailto:marinejordaa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oanghiembm@gmail.com" TargetMode="External"/><Relationship Id="rId13" Type="http://schemas.openxmlformats.org/officeDocument/2006/relationships/hyperlink" Target="mailto:grace.brannon@gmail.com" TargetMode="External"/><Relationship Id="rId3" Type="http://schemas.openxmlformats.org/officeDocument/2006/relationships/hyperlink" Target="mailto:mhatet_conqueror@yahoo.com.ph" TargetMode="External"/><Relationship Id="rId7" Type="http://schemas.openxmlformats.org/officeDocument/2006/relationships/hyperlink" Target="mailto:mailboxjohanna@gmail.com" TargetMode="External"/><Relationship Id="rId12" Type="http://schemas.openxmlformats.org/officeDocument/2006/relationships/hyperlink" Target="mailto:tmhardegree@gmail.com" TargetMode="External"/><Relationship Id="rId17" Type="http://schemas.openxmlformats.org/officeDocument/2006/relationships/hyperlink" Target="mailto:niexin19861224@gmail.com" TargetMode="External"/><Relationship Id="rId2" Type="http://schemas.openxmlformats.org/officeDocument/2006/relationships/hyperlink" Target="mailto:tomi@hif.vn" TargetMode="External"/><Relationship Id="rId16" Type="http://schemas.openxmlformats.org/officeDocument/2006/relationships/hyperlink" Target="mailto:beingtimothy@gmail.com" TargetMode="External"/><Relationship Id="rId1" Type="http://schemas.openxmlformats.org/officeDocument/2006/relationships/hyperlink" Target="mailto:11denness@gmail.com" TargetMode="External"/><Relationship Id="rId6" Type="http://schemas.openxmlformats.org/officeDocument/2006/relationships/hyperlink" Target="mailto:kebukolah@gmail.com" TargetMode="External"/><Relationship Id="rId11" Type="http://schemas.openxmlformats.org/officeDocument/2006/relationships/hyperlink" Target="mailto:rahelwu@psmail.com" TargetMode="External"/><Relationship Id="rId5" Type="http://schemas.openxmlformats.org/officeDocument/2006/relationships/hyperlink" Target="mailto:beingtimothy@gmail.com" TargetMode="External"/><Relationship Id="rId15" Type="http://schemas.openxmlformats.org/officeDocument/2006/relationships/hyperlink" Target="mailto:tnickson111@gmail.com" TargetMode="External"/><Relationship Id="rId10" Type="http://schemas.openxmlformats.org/officeDocument/2006/relationships/hyperlink" Target="mailto:zinainjx@gmail.com" TargetMode="External"/><Relationship Id="rId4" Type="http://schemas.openxmlformats.org/officeDocument/2006/relationships/hyperlink" Target="mailto:kanyidoto@yahoo.com" TargetMode="External"/><Relationship Id="rId9" Type="http://schemas.openxmlformats.org/officeDocument/2006/relationships/hyperlink" Target="mailto:lena.zt03@gmail.com" TargetMode="External"/><Relationship Id="rId14" Type="http://schemas.openxmlformats.org/officeDocument/2006/relationships/hyperlink" Target="mailto:grace.brannon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rincejay4014@gmail.com" TargetMode="External"/><Relationship Id="rId13" Type="http://schemas.openxmlformats.org/officeDocument/2006/relationships/hyperlink" Target="mailto:nguyenhang15071987@gmail.com" TargetMode="External"/><Relationship Id="rId3" Type="http://schemas.openxmlformats.org/officeDocument/2006/relationships/hyperlink" Target="mailto:tanya.tiemeyer@gmail.com" TargetMode="External"/><Relationship Id="rId7" Type="http://schemas.openxmlformats.org/officeDocument/2006/relationships/hyperlink" Target="mailto:hungbui.penn@gmail.com" TargetMode="External"/><Relationship Id="rId12" Type="http://schemas.openxmlformats.org/officeDocument/2006/relationships/hyperlink" Target="mailto:nguyenanhngoc880402@gmail.com" TargetMode="External"/><Relationship Id="rId2" Type="http://schemas.openxmlformats.org/officeDocument/2006/relationships/hyperlink" Target="mailto:11denness@gmail.com" TargetMode="External"/><Relationship Id="rId1" Type="http://schemas.openxmlformats.org/officeDocument/2006/relationships/hyperlink" Target="mailto:tamkt0903@gmail.com" TargetMode="External"/><Relationship Id="rId6" Type="http://schemas.openxmlformats.org/officeDocument/2006/relationships/hyperlink" Target="mailto:yvette.huisamen@gmail.com" TargetMode="External"/><Relationship Id="rId11" Type="http://schemas.openxmlformats.org/officeDocument/2006/relationships/hyperlink" Target="mailto:Zivvillezon@gmail.com" TargetMode="External"/><Relationship Id="rId5" Type="http://schemas.openxmlformats.org/officeDocument/2006/relationships/hyperlink" Target="mailto:mafeployola79@gmail.com" TargetMode="External"/><Relationship Id="rId10" Type="http://schemas.openxmlformats.org/officeDocument/2006/relationships/hyperlink" Target="mailto:715phamily@gmail.com" TargetMode="External"/><Relationship Id="rId4" Type="http://schemas.openxmlformats.org/officeDocument/2006/relationships/hyperlink" Target="mailto:tanya.tiemeyer@gmail.com" TargetMode="External"/><Relationship Id="rId9" Type="http://schemas.openxmlformats.org/officeDocument/2006/relationships/hyperlink" Target="mailto:thangnv77@gmail.com" TargetMode="External"/><Relationship Id="rId14" Type="http://schemas.openxmlformats.org/officeDocument/2006/relationships/hyperlink" Target="mailto:lldenness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ynguyen18.work@gmail.com" TargetMode="External"/><Relationship Id="rId3" Type="http://schemas.openxmlformats.org/officeDocument/2006/relationships/hyperlink" Target="mailto:caovanlungpeter@gmail.com" TargetMode="External"/><Relationship Id="rId7" Type="http://schemas.openxmlformats.org/officeDocument/2006/relationships/hyperlink" Target="mailto:april.potot@gmail.com" TargetMode="External"/><Relationship Id="rId12" Type="http://schemas.openxmlformats.org/officeDocument/2006/relationships/table" Target="../tables/table2.xml"/><Relationship Id="rId2" Type="http://schemas.openxmlformats.org/officeDocument/2006/relationships/hyperlink" Target="mailto:khanhchi0708@gmail.com" TargetMode="External"/><Relationship Id="rId1" Type="http://schemas.openxmlformats.org/officeDocument/2006/relationships/hyperlink" Target="mailto:letan711@gmail.com" TargetMode="External"/><Relationship Id="rId6" Type="http://schemas.openxmlformats.org/officeDocument/2006/relationships/hyperlink" Target="mailto:philip.tinker@gmail.com" TargetMode="External"/><Relationship Id="rId11" Type="http://schemas.openxmlformats.org/officeDocument/2006/relationships/hyperlink" Target="mailto:thuongpham20152018@gmail.com" TargetMode="External"/><Relationship Id="rId5" Type="http://schemas.openxmlformats.org/officeDocument/2006/relationships/hyperlink" Target="mailto:davidchae7@gmail.com" TargetMode="External"/><Relationship Id="rId10" Type="http://schemas.openxmlformats.org/officeDocument/2006/relationships/hyperlink" Target="mailto:zinainjx@gmail.com" TargetMode="External"/><Relationship Id="rId4" Type="http://schemas.openxmlformats.org/officeDocument/2006/relationships/hyperlink" Target="mailto:quantity01701@gmail.com" TargetMode="External"/><Relationship Id="rId9" Type="http://schemas.openxmlformats.org/officeDocument/2006/relationships/hyperlink" Target="mailto:vkpo.jtorres10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kimplus83@gmail.com" TargetMode="External"/><Relationship Id="rId13" Type="http://schemas.openxmlformats.org/officeDocument/2006/relationships/hyperlink" Target="mailto:ttayuka@hotmail.com" TargetMode="External"/><Relationship Id="rId18" Type="http://schemas.openxmlformats.org/officeDocument/2006/relationships/table" Target="../tables/table3.xml"/><Relationship Id="rId3" Type="http://schemas.openxmlformats.org/officeDocument/2006/relationships/hyperlink" Target="mailto:yvette.huisamen@gmail.com" TargetMode="External"/><Relationship Id="rId7" Type="http://schemas.openxmlformats.org/officeDocument/2006/relationships/hyperlink" Target="mailto:seungwan.kim@gmail.com" TargetMode="External"/><Relationship Id="rId12" Type="http://schemas.openxmlformats.org/officeDocument/2006/relationships/hyperlink" Target="mailto:cmariekugler@gmail.com" TargetMode="External"/><Relationship Id="rId17" Type="http://schemas.openxmlformats.org/officeDocument/2006/relationships/hyperlink" Target="mailto:nguyenhang150787@gmail.com" TargetMode="External"/><Relationship Id="rId2" Type="http://schemas.openxmlformats.org/officeDocument/2006/relationships/hyperlink" Target="tel:0793%20094%20792" TargetMode="External"/><Relationship Id="rId16" Type="http://schemas.openxmlformats.org/officeDocument/2006/relationships/hyperlink" Target="mailto:vubachlien@gmail.com" TargetMode="External"/><Relationship Id="rId1" Type="http://schemas.openxmlformats.org/officeDocument/2006/relationships/hyperlink" Target="mailto:hollamydeella@gmail.com" TargetMode="External"/><Relationship Id="rId6" Type="http://schemas.openxmlformats.org/officeDocument/2006/relationships/hyperlink" Target="mailto:terry090769@gmail.com" TargetMode="External"/><Relationship Id="rId11" Type="http://schemas.openxmlformats.org/officeDocument/2006/relationships/hyperlink" Target="mailto:cmariekugler@gmail.com" TargetMode="External"/><Relationship Id="rId5" Type="http://schemas.openxmlformats.org/officeDocument/2006/relationships/hyperlink" Target="mailto:nhelmer26@gmail.com" TargetMode="External"/><Relationship Id="rId15" Type="http://schemas.openxmlformats.org/officeDocument/2006/relationships/hyperlink" Target="mailto:naz.cairncross@gmail.com" TargetMode="External"/><Relationship Id="rId10" Type="http://schemas.openxmlformats.org/officeDocument/2006/relationships/hyperlink" Target="mailto:marinejordaan@gmail.com" TargetMode="External"/><Relationship Id="rId4" Type="http://schemas.openxmlformats.org/officeDocument/2006/relationships/hyperlink" Target="mailto:tranthanhxuan83tmh@gmail.com" TargetMode="External"/><Relationship Id="rId9" Type="http://schemas.openxmlformats.org/officeDocument/2006/relationships/hyperlink" Target="mailto:eera.park@gmail.com" TargetMode="External"/><Relationship Id="rId14" Type="http://schemas.openxmlformats.org/officeDocument/2006/relationships/hyperlink" Target="mailto:philip.tinker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tranthanhxuan83tmh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yvette.huisamen@gmail.com" TargetMode="External"/><Relationship Id="rId1" Type="http://schemas.openxmlformats.org/officeDocument/2006/relationships/hyperlink" Target="tel:0793%20094%20792" TargetMode="External"/><Relationship Id="rId6" Type="http://schemas.openxmlformats.org/officeDocument/2006/relationships/hyperlink" Target="mailto:kimplus83@gmail.com" TargetMode="External"/><Relationship Id="rId5" Type="http://schemas.openxmlformats.org/officeDocument/2006/relationships/hyperlink" Target="mailto:terry090769@gmail.com" TargetMode="External"/><Relationship Id="rId4" Type="http://schemas.openxmlformats.org/officeDocument/2006/relationships/hyperlink" Target="mailto:nhelmer26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pril.potot@gmail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davidchae7@gmail.com" TargetMode="External"/><Relationship Id="rId1" Type="http://schemas.openxmlformats.org/officeDocument/2006/relationships/hyperlink" Target="mailto:letan711@gmail.com" TargetMode="External"/><Relationship Id="rId6" Type="http://schemas.openxmlformats.org/officeDocument/2006/relationships/hyperlink" Target="mailto:thuongpham20152018@gmail.com" TargetMode="External"/><Relationship Id="rId5" Type="http://schemas.openxmlformats.org/officeDocument/2006/relationships/hyperlink" Target="mailto:zinainjx@gmail.com" TargetMode="External"/><Relationship Id="rId4" Type="http://schemas.openxmlformats.org/officeDocument/2006/relationships/hyperlink" Target="mailto:vkpo.jtorres10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7"/>
  <sheetViews>
    <sheetView topLeftCell="F2" workbookViewId="0">
      <selection activeCell="F1" sqref="F1"/>
    </sheetView>
  </sheetViews>
  <sheetFormatPr defaultColWidth="9.125" defaultRowHeight="13.5" outlineLevelRow="1" outlineLevelCol="1"/>
  <cols>
    <col min="1" max="1" width="21.5" style="1" customWidth="1"/>
    <col min="2" max="2" width="34.5" style="1" customWidth="1" outlineLevel="1"/>
    <col min="3" max="3" width="22.625" style="1" customWidth="1" outlineLevel="1"/>
    <col min="4" max="4" width="11.875" style="1" customWidth="1" outlineLevel="1"/>
    <col min="5" max="5" width="26.375" style="1" customWidth="1" outlineLevel="1"/>
    <col min="6" max="6" width="32.375" style="1" customWidth="1" outlineLevel="1"/>
    <col min="7" max="7" width="37.5" style="1" customWidth="1" outlineLevel="1"/>
    <col min="8" max="8" width="35.5" style="1" customWidth="1" outlineLevel="1"/>
    <col min="9" max="9" width="33.5" style="1" customWidth="1" outlineLevel="1"/>
    <col min="10" max="16384" width="9.125" style="1"/>
  </cols>
  <sheetData>
    <row r="1" spans="1:10" hidden="1">
      <c r="A1" s="270"/>
      <c r="B1" s="270" t="s">
        <v>0</v>
      </c>
      <c r="C1" s="270" t="s">
        <v>1</v>
      </c>
      <c r="D1" s="270" t="s">
        <v>2</v>
      </c>
      <c r="E1" s="270" t="s">
        <v>3</v>
      </c>
      <c r="F1" s="270" t="s">
        <v>4</v>
      </c>
      <c r="G1" s="270" t="s">
        <v>5</v>
      </c>
      <c r="H1" s="270" t="s">
        <v>6</v>
      </c>
      <c r="I1" s="270" t="s">
        <v>7</v>
      </c>
    </row>
    <row r="2" spans="1:10" ht="16.5" customHeight="1" outlineLevel="1">
      <c r="A2" s="419" t="s">
        <v>8</v>
      </c>
      <c r="B2" s="434" t="s">
        <v>9</v>
      </c>
      <c r="C2" s="531" t="s">
        <v>10</v>
      </c>
      <c r="D2" s="435" t="s">
        <v>11</v>
      </c>
      <c r="E2" s="436"/>
      <c r="F2" s="436"/>
      <c r="G2" s="436"/>
      <c r="H2" s="437"/>
      <c r="I2" s="438"/>
      <c r="J2" s="439"/>
    </row>
    <row r="3" spans="1:10" outlineLevel="1">
      <c r="A3" s="440" t="s">
        <v>12</v>
      </c>
      <c r="B3" s="440" t="s">
        <v>13</v>
      </c>
      <c r="C3" s="532" t="s">
        <v>14</v>
      </c>
      <c r="D3" s="435" t="s">
        <v>11</v>
      </c>
      <c r="E3" s="441"/>
      <c r="F3" s="441"/>
      <c r="G3" s="441"/>
      <c r="H3" s="438"/>
      <c r="I3" s="438"/>
      <c r="J3" s="439"/>
    </row>
    <row r="4" spans="1:10" outlineLevel="1">
      <c r="A4" s="440" t="s">
        <v>15</v>
      </c>
      <c r="B4" s="440" t="s">
        <v>16</v>
      </c>
      <c r="C4" s="440" t="s">
        <v>17</v>
      </c>
      <c r="D4" s="435" t="s">
        <v>11</v>
      </c>
      <c r="E4" s="441"/>
      <c r="F4" s="441"/>
      <c r="G4" s="441"/>
      <c r="H4" s="438"/>
      <c r="I4" s="438"/>
      <c r="J4" s="439"/>
    </row>
    <row r="5" spans="1:10" s="170" customFormat="1" ht="15" outlineLevel="1">
      <c r="A5" s="442" t="s">
        <v>18</v>
      </c>
      <c r="B5" s="443" t="s">
        <v>19</v>
      </c>
      <c r="C5" s="444"/>
      <c r="D5" s="435" t="s">
        <v>11</v>
      </c>
      <c r="E5" s="441"/>
      <c r="F5" s="441"/>
      <c r="G5" s="441"/>
      <c r="H5" s="438"/>
      <c r="I5" s="438"/>
      <c r="J5" s="445"/>
    </row>
    <row r="6" spans="1:10" outlineLevel="1">
      <c r="A6" s="440" t="s">
        <v>20</v>
      </c>
      <c r="B6" s="440" t="s">
        <v>21</v>
      </c>
      <c r="C6" s="440" t="s">
        <v>22</v>
      </c>
      <c r="D6" s="435" t="s">
        <v>11</v>
      </c>
      <c r="E6" s="441"/>
      <c r="F6" s="441"/>
      <c r="G6" s="441"/>
      <c r="H6" s="438"/>
      <c r="I6" s="438"/>
      <c r="J6" s="439"/>
    </row>
    <row r="7" spans="1:10" outlineLevel="1">
      <c r="A7" s="442" t="s">
        <v>23</v>
      </c>
      <c r="B7" s="446" t="s">
        <v>24</v>
      </c>
      <c r="C7" s="442" t="s">
        <v>25</v>
      </c>
      <c r="D7" s="447" t="s">
        <v>11</v>
      </c>
      <c r="E7" s="441"/>
      <c r="F7" s="441"/>
      <c r="G7" s="441"/>
      <c r="H7" s="438"/>
      <c r="I7" s="438"/>
      <c r="J7" s="439"/>
    </row>
    <row r="8" spans="1:10" ht="15" outlineLevel="1">
      <c r="A8" s="442" t="s">
        <v>26</v>
      </c>
      <c r="B8" s="443" t="s">
        <v>27</v>
      </c>
      <c r="C8" s="533" t="s">
        <v>28</v>
      </c>
      <c r="D8" s="448" t="s">
        <v>11</v>
      </c>
      <c r="E8" s="441"/>
      <c r="F8" s="441"/>
      <c r="G8" s="441"/>
      <c r="H8" s="438"/>
      <c r="I8" s="438"/>
      <c r="J8" s="439"/>
    </row>
    <row r="9" spans="1:10" outlineLevel="1">
      <c r="A9" s="419" t="s">
        <v>29</v>
      </c>
      <c r="B9" s="419" t="s">
        <v>30</v>
      </c>
      <c r="C9" s="419" t="s">
        <v>31</v>
      </c>
      <c r="D9" s="449"/>
      <c r="E9" s="441"/>
      <c r="F9" s="441"/>
      <c r="G9" s="441"/>
      <c r="H9" s="438"/>
      <c r="I9" s="438"/>
      <c r="J9" s="439"/>
    </row>
    <row r="10" spans="1:10" ht="15" outlineLevel="1">
      <c r="A10" s="419" t="s">
        <v>32</v>
      </c>
      <c r="B10" s="434" t="s">
        <v>33</v>
      </c>
      <c r="C10" s="450">
        <v>766013733</v>
      </c>
      <c r="D10" s="451" t="s">
        <v>11</v>
      </c>
      <c r="E10" s="441"/>
      <c r="F10" s="441"/>
      <c r="G10" s="441"/>
      <c r="H10" s="438"/>
      <c r="I10" s="438"/>
      <c r="J10" s="439"/>
    </row>
    <row r="11" spans="1:10" ht="15" outlineLevel="1">
      <c r="A11" s="419" t="s">
        <v>34</v>
      </c>
      <c r="B11" s="434" t="s">
        <v>35</v>
      </c>
      <c r="C11" s="450">
        <v>355687312</v>
      </c>
      <c r="D11" s="451" t="s">
        <v>11</v>
      </c>
      <c r="E11" s="441"/>
      <c r="F11" s="441"/>
      <c r="G11" s="441"/>
      <c r="H11" s="438"/>
      <c r="I11" s="438"/>
      <c r="J11" s="439"/>
    </row>
    <row r="12" spans="1:10" ht="15" outlineLevel="1">
      <c r="A12" s="419" t="s">
        <v>36</v>
      </c>
      <c r="B12" s="434" t="s">
        <v>37</v>
      </c>
      <c r="C12" s="450">
        <v>46709771103</v>
      </c>
      <c r="D12" s="451" t="s">
        <v>11</v>
      </c>
      <c r="E12" s="441"/>
      <c r="F12" s="441"/>
      <c r="G12" s="441"/>
      <c r="H12" s="438"/>
      <c r="I12" s="438"/>
      <c r="J12" s="439"/>
    </row>
    <row r="13" spans="1:10" ht="15" outlineLevel="1">
      <c r="A13" s="419" t="s">
        <v>38</v>
      </c>
      <c r="B13" s="434" t="s">
        <v>39</v>
      </c>
      <c r="C13" s="450">
        <v>374327959</v>
      </c>
      <c r="D13" s="451" t="s">
        <v>11</v>
      </c>
      <c r="E13" s="441"/>
      <c r="F13" s="441"/>
      <c r="G13" s="441"/>
      <c r="H13" s="438"/>
      <c r="I13" s="438"/>
      <c r="J13" s="439"/>
    </row>
    <row r="14" spans="1:10" outlineLevel="1">
      <c r="A14" s="442" t="s">
        <v>40</v>
      </c>
      <c r="B14" s="442" t="s">
        <v>41</v>
      </c>
      <c r="C14" s="442" t="s">
        <v>42</v>
      </c>
      <c r="D14" s="451" t="s">
        <v>11</v>
      </c>
      <c r="E14" s="441"/>
      <c r="F14" s="441"/>
      <c r="G14" s="441"/>
      <c r="H14" s="438"/>
      <c r="I14" s="438"/>
      <c r="J14" s="439"/>
    </row>
    <row r="15" spans="1:10" outlineLevel="1">
      <c r="A15" s="442" t="s">
        <v>43</v>
      </c>
      <c r="B15" s="442" t="s">
        <v>44</v>
      </c>
      <c r="C15" s="442" t="s">
        <v>45</v>
      </c>
      <c r="D15" s="451" t="s">
        <v>11</v>
      </c>
      <c r="E15" s="441"/>
      <c r="F15" s="441"/>
      <c r="G15" s="441"/>
      <c r="H15" s="438"/>
      <c r="I15" s="438"/>
      <c r="J15" s="439"/>
    </row>
    <row r="16" spans="1:10" ht="16.5" customHeight="1" outlineLevel="1">
      <c r="A16" s="442" t="s">
        <v>46</v>
      </c>
      <c r="B16" s="442" t="s">
        <v>47</v>
      </c>
      <c r="C16" s="442" t="s">
        <v>48</v>
      </c>
      <c r="D16" s="451" t="s">
        <v>11</v>
      </c>
      <c r="E16" s="441"/>
      <c r="F16" s="441"/>
      <c r="G16" s="441"/>
      <c r="H16" s="438"/>
      <c r="I16" s="438"/>
      <c r="J16" s="439"/>
    </row>
    <row r="17" spans="1:10" outlineLevel="1">
      <c r="A17" s="442" t="s">
        <v>49</v>
      </c>
      <c r="B17" s="442" t="s">
        <v>50</v>
      </c>
      <c r="C17" s="442" t="s">
        <v>51</v>
      </c>
      <c r="D17" s="451" t="s">
        <v>11</v>
      </c>
      <c r="E17" s="441"/>
      <c r="F17" s="441"/>
      <c r="G17" s="441"/>
      <c r="H17" s="438"/>
      <c r="I17" s="438"/>
      <c r="J17" s="439"/>
    </row>
    <row r="18" spans="1:10" ht="15" outlineLevel="1">
      <c r="A18" s="442" t="s">
        <v>52</v>
      </c>
      <c r="B18" s="443" t="s">
        <v>53</v>
      </c>
      <c r="C18" s="442" t="s">
        <v>54</v>
      </c>
      <c r="D18" s="451" t="s">
        <v>11</v>
      </c>
      <c r="E18" s="441"/>
      <c r="F18" s="441"/>
      <c r="G18" s="441"/>
      <c r="H18" s="438"/>
      <c r="I18" s="438"/>
      <c r="J18" s="439"/>
    </row>
    <row r="19" spans="1:10" ht="16.5" customHeight="1" outlineLevel="1">
      <c r="A19" s="442" t="s">
        <v>29</v>
      </c>
      <c r="B19" s="442" t="s">
        <v>30</v>
      </c>
      <c r="C19" s="442" t="s">
        <v>31</v>
      </c>
      <c r="D19" s="451" t="s">
        <v>11</v>
      </c>
      <c r="E19" s="441"/>
      <c r="F19" s="441"/>
      <c r="G19" s="441"/>
      <c r="H19" s="438"/>
      <c r="I19" s="438"/>
      <c r="J19" s="439"/>
    </row>
    <row r="20" spans="1:10" outlineLevel="1">
      <c r="A20" s="442" t="s">
        <v>55</v>
      </c>
      <c r="B20" s="442" t="s">
        <v>56</v>
      </c>
      <c r="C20" s="442" t="s">
        <v>57</v>
      </c>
      <c r="D20" s="451" t="s">
        <v>11</v>
      </c>
      <c r="E20" s="441"/>
      <c r="F20" s="441"/>
      <c r="G20" s="441"/>
      <c r="H20" s="438"/>
      <c r="I20" s="438"/>
      <c r="J20" s="439"/>
    </row>
    <row r="21" spans="1:10" outlineLevel="1">
      <c r="A21" s="442" t="s">
        <v>58</v>
      </c>
      <c r="B21" s="452" t="s">
        <v>59</v>
      </c>
      <c r="C21" s="442" t="s">
        <v>60</v>
      </c>
      <c r="D21" s="451" t="s">
        <v>11</v>
      </c>
      <c r="E21" s="441"/>
      <c r="F21" s="441"/>
      <c r="G21" s="441"/>
      <c r="H21" s="438"/>
      <c r="I21" s="438"/>
      <c r="J21" s="439"/>
    </row>
    <row r="22" spans="1:10" ht="14.25" outlineLevel="1">
      <c r="A22" s="435" t="s">
        <v>61</v>
      </c>
      <c r="B22" s="453" t="s">
        <v>62</v>
      </c>
      <c r="C22" s="454" t="s">
        <v>63</v>
      </c>
      <c r="D22" s="435" t="s">
        <v>11</v>
      </c>
      <c r="E22" s="441"/>
      <c r="F22" s="441"/>
      <c r="G22" s="441"/>
      <c r="H22" s="438"/>
      <c r="I22" s="438"/>
      <c r="J22" s="439"/>
    </row>
    <row r="23" spans="1:10" ht="15" outlineLevel="1">
      <c r="A23" s="419" t="s">
        <v>12</v>
      </c>
      <c r="B23" s="455" t="s">
        <v>64</v>
      </c>
      <c r="C23" s="531" t="s">
        <v>14</v>
      </c>
      <c r="D23" s="435" t="s">
        <v>11</v>
      </c>
      <c r="E23" s="441"/>
      <c r="F23" s="441"/>
      <c r="G23" s="441"/>
      <c r="H23" s="438"/>
      <c r="I23" s="438"/>
      <c r="J23" s="439"/>
    </row>
    <row r="24" spans="1:10" ht="20.25" customHeight="1" outlineLevel="1">
      <c r="A24" s="419" t="s">
        <v>65</v>
      </c>
      <c r="B24" s="456" t="s">
        <v>66</v>
      </c>
      <c r="C24" s="457" t="s">
        <v>67</v>
      </c>
      <c r="D24" s="435" t="s">
        <v>11</v>
      </c>
      <c r="E24" s="441"/>
      <c r="F24" s="441"/>
      <c r="G24" s="441"/>
      <c r="H24" s="438"/>
      <c r="I24" s="438"/>
      <c r="J24" s="439"/>
    </row>
    <row r="25" spans="1:10" ht="19.5" customHeight="1" outlineLevel="1">
      <c r="A25" s="442" t="s">
        <v>68</v>
      </c>
      <c r="B25" s="458" t="s">
        <v>69</v>
      </c>
      <c r="C25" s="458" t="s">
        <v>70</v>
      </c>
      <c r="D25" s="459" t="s">
        <v>11</v>
      </c>
      <c r="E25" s="441"/>
      <c r="F25" s="441"/>
      <c r="G25" s="441"/>
      <c r="H25" s="438"/>
      <c r="I25" s="438"/>
      <c r="J25" s="439"/>
    </row>
    <row r="26" spans="1:10" ht="15" outlineLevel="1">
      <c r="A26" s="442" t="s">
        <v>71</v>
      </c>
      <c r="B26" s="460" t="s">
        <v>72</v>
      </c>
      <c r="C26" s="534" t="s">
        <v>73</v>
      </c>
      <c r="D26" s="459" t="s">
        <v>11</v>
      </c>
      <c r="E26" s="441"/>
      <c r="F26" s="441"/>
      <c r="G26" s="441"/>
      <c r="H26" s="438"/>
      <c r="I26" s="438"/>
      <c r="J26" s="439"/>
    </row>
    <row r="27" spans="1:10" ht="15" outlineLevel="1">
      <c r="A27" s="442" t="s">
        <v>74</v>
      </c>
      <c r="B27" s="460" t="s">
        <v>75</v>
      </c>
      <c r="C27" s="534" t="s">
        <v>76</v>
      </c>
      <c r="D27" s="459" t="s">
        <v>11</v>
      </c>
      <c r="E27" s="441"/>
      <c r="F27" s="441"/>
      <c r="G27" s="441"/>
      <c r="H27" s="438"/>
      <c r="I27" s="438"/>
      <c r="J27" s="439"/>
    </row>
    <row r="28" spans="1:10" ht="15" outlineLevel="1">
      <c r="A28" s="442" t="s">
        <v>74</v>
      </c>
      <c r="B28" s="460" t="s">
        <v>75</v>
      </c>
      <c r="C28" s="534" t="s">
        <v>76</v>
      </c>
      <c r="D28" s="459" t="s">
        <v>11</v>
      </c>
      <c r="E28" s="441"/>
      <c r="F28" s="441"/>
      <c r="G28" s="441"/>
      <c r="H28" s="438"/>
      <c r="I28" s="438"/>
      <c r="J28" s="439"/>
    </row>
    <row r="29" spans="1:10" ht="18" customHeight="1" outlineLevel="1">
      <c r="A29" s="442" t="s">
        <v>77</v>
      </c>
      <c r="B29" s="458" t="s">
        <v>78</v>
      </c>
      <c r="C29" s="458" t="s">
        <v>79</v>
      </c>
      <c r="D29" s="459" t="s">
        <v>11</v>
      </c>
      <c r="E29" s="441"/>
      <c r="F29" s="441"/>
      <c r="G29" s="441"/>
      <c r="H29" s="438"/>
      <c r="I29" s="438"/>
      <c r="J29" s="439"/>
    </row>
    <row r="30" spans="1:10" ht="21" customHeight="1" outlineLevel="1">
      <c r="A30" s="419" t="s">
        <v>80</v>
      </c>
      <c r="B30" s="456" t="s">
        <v>81</v>
      </c>
      <c r="C30" s="461" t="s">
        <v>82</v>
      </c>
      <c r="D30" s="459" t="s">
        <v>11</v>
      </c>
      <c r="E30" s="441"/>
      <c r="F30" s="441"/>
      <c r="G30" s="441"/>
      <c r="H30" s="438"/>
      <c r="I30" s="438"/>
      <c r="J30" s="439"/>
    </row>
    <row r="31" spans="1:10" ht="16.5" customHeight="1" outlineLevel="1">
      <c r="A31" s="442" t="s">
        <v>83</v>
      </c>
      <c r="B31" s="458" t="s">
        <v>84</v>
      </c>
      <c r="C31" s="442" t="s">
        <v>85</v>
      </c>
      <c r="D31" s="459" t="s">
        <v>11</v>
      </c>
      <c r="E31" s="441"/>
      <c r="F31" s="441"/>
      <c r="G31" s="441"/>
      <c r="H31" s="438"/>
      <c r="I31" s="438"/>
      <c r="J31" s="439"/>
    </row>
    <row r="32" spans="1:10" ht="16.5" customHeight="1" outlineLevel="1">
      <c r="A32" s="442" t="s">
        <v>83</v>
      </c>
      <c r="B32" s="458" t="s">
        <v>84</v>
      </c>
      <c r="C32" s="442" t="s">
        <v>85</v>
      </c>
      <c r="D32" s="459" t="s">
        <v>11</v>
      </c>
      <c r="E32" s="441"/>
      <c r="F32" s="441"/>
      <c r="G32" s="441"/>
      <c r="H32" s="438"/>
      <c r="I32" s="438"/>
      <c r="J32" s="439"/>
    </row>
    <row r="33" spans="1:10" ht="16.5" customHeight="1" outlineLevel="1">
      <c r="A33" s="442" t="s">
        <v>86</v>
      </c>
      <c r="B33" s="458" t="s">
        <v>87</v>
      </c>
      <c r="C33" s="442" t="s">
        <v>88</v>
      </c>
      <c r="D33" s="459" t="s">
        <v>11</v>
      </c>
      <c r="E33" s="441"/>
      <c r="F33" s="441"/>
      <c r="G33" s="441"/>
      <c r="H33" s="438"/>
      <c r="I33" s="438"/>
      <c r="J33" s="439"/>
    </row>
    <row r="34" spans="1:10" outlineLevel="1">
      <c r="A34" s="462" t="s">
        <v>15</v>
      </c>
      <c r="B34" s="462" t="s">
        <v>16</v>
      </c>
      <c r="C34" s="463" t="s">
        <v>89</v>
      </c>
      <c r="D34" s="463" t="s">
        <v>90</v>
      </c>
      <c r="E34" s="441"/>
      <c r="F34" s="441"/>
      <c r="G34" s="441"/>
      <c r="H34" s="438"/>
      <c r="I34" s="438"/>
      <c r="J34" s="439"/>
    </row>
    <row r="35" spans="1:10" outlineLevel="1">
      <c r="A35" s="462" t="s">
        <v>91</v>
      </c>
      <c r="B35" s="462" t="s">
        <v>92</v>
      </c>
      <c r="C35" s="463" t="s">
        <v>93</v>
      </c>
      <c r="D35" s="463" t="s">
        <v>90</v>
      </c>
      <c r="E35" s="441"/>
      <c r="F35" s="441"/>
      <c r="G35" s="441"/>
      <c r="H35" s="438"/>
      <c r="I35" s="438"/>
      <c r="J35" s="439"/>
    </row>
    <row r="36" spans="1:10" ht="17.25" customHeight="1" outlineLevel="1">
      <c r="A36" s="88" t="s">
        <v>94</v>
      </c>
      <c r="B36" s="464" t="s">
        <v>95</v>
      </c>
      <c r="C36" s="464" t="s">
        <v>96</v>
      </c>
      <c r="D36" s="463" t="s">
        <v>97</v>
      </c>
      <c r="E36" s="441"/>
      <c r="F36" s="441"/>
      <c r="G36" s="441"/>
      <c r="H36" s="438"/>
      <c r="I36" s="438"/>
      <c r="J36" s="439"/>
    </row>
    <row r="37" spans="1:10" ht="15" customHeight="1" outlineLevel="1">
      <c r="A37" s="465" t="s">
        <v>98</v>
      </c>
      <c r="B37" s="466" t="s">
        <v>99</v>
      </c>
      <c r="C37" s="467" t="s">
        <v>100</v>
      </c>
      <c r="D37" s="468" t="s">
        <v>90</v>
      </c>
      <c r="E37" s="441"/>
      <c r="F37" s="441"/>
      <c r="G37" s="441"/>
      <c r="H37" s="438"/>
      <c r="I37" s="438"/>
      <c r="J37" s="439"/>
    </row>
    <row r="38" spans="1:10" ht="15" outlineLevel="1">
      <c r="A38" s="469" t="s">
        <v>12</v>
      </c>
      <c r="B38" s="469" t="s">
        <v>13</v>
      </c>
      <c r="C38" s="469" t="s">
        <v>101</v>
      </c>
      <c r="D38" s="470" t="s">
        <v>90</v>
      </c>
      <c r="E38" s="441"/>
      <c r="F38" s="441"/>
      <c r="G38" s="441"/>
      <c r="H38" s="438"/>
      <c r="I38" s="438"/>
      <c r="J38" s="439"/>
    </row>
    <row r="39" spans="1:10" ht="15" outlineLevel="1">
      <c r="A39" s="88" t="s">
        <v>102</v>
      </c>
      <c r="B39" s="471" t="s">
        <v>103</v>
      </c>
      <c r="C39" s="535" t="s">
        <v>104</v>
      </c>
      <c r="D39" s="470" t="s">
        <v>90</v>
      </c>
      <c r="E39" s="441"/>
      <c r="F39" s="441"/>
      <c r="G39" s="441"/>
      <c r="H39" s="438"/>
      <c r="I39" s="438"/>
      <c r="J39" s="439"/>
    </row>
    <row r="40" spans="1:10" ht="15" outlineLevel="1">
      <c r="A40" s="88" t="s">
        <v>102</v>
      </c>
      <c r="B40" s="471" t="s">
        <v>103</v>
      </c>
      <c r="C40" s="535" t="s">
        <v>104</v>
      </c>
      <c r="D40" s="470" t="s">
        <v>90</v>
      </c>
      <c r="E40" s="441"/>
      <c r="F40" s="441"/>
      <c r="G40" s="441"/>
      <c r="H40" s="438"/>
      <c r="I40" s="438"/>
      <c r="J40" s="439"/>
    </row>
    <row r="41" spans="1:10" ht="15" outlineLevel="1">
      <c r="A41" s="472" t="s">
        <v>105</v>
      </c>
      <c r="B41" s="473" t="s">
        <v>106</v>
      </c>
      <c r="C41" s="472" t="s">
        <v>107</v>
      </c>
      <c r="D41" s="470" t="s">
        <v>90</v>
      </c>
      <c r="E41" s="441"/>
      <c r="F41" s="441"/>
      <c r="G41" s="441"/>
      <c r="H41" s="438"/>
      <c r="I41" s="438"/>
      <c r="J41" s="439"/>
    </row>
    <row r="42" spans="1:10" ht="16.5" customHeight="1" outlineLevel="1">
      <c r="A42" s="88" t="s">
        <v>108</v>
      </c>
      <c r="B42" s="464" t="s">
        <v>109</v>
      </c>
      <c r="C42" s="464" t="s">
        <v>110</v>
      </c>
      <c r="D42" s="470" t="s">
        <v>90</v>
      </c>
      <c r="E42" s="441"/>
      <c r="F42" s="441"/>
      <c r="G42" s="441"/>
      <c r="H42" s="438"/>
      <c r="I42" s="438"/>
      <c r="J42" s="439"/>
    </row>
    <row r="43" spans="1:10" ht="18.75" customHeight="1" outlineLevel="1">
      <c r="A43" s="88" t="s">
        <v>111</v>
      </c>
      <c r="B43" s="464" t="s">
        <v>112</v>
      </c>
      <c r="C43" s="88" t="s">
        <v>113</v>
      </c>
      <c r="D43" s="470" t="s">
        <v>90</v>
      </c>
      <c r="E43" s="441"/>
      <c r="F43" s="441"/>
      <c r="G43" s="441"/>
      <c r="H43" s="438"/>
      <c r="I43" s="438"/>
      <c r="J43" s="439"/>
    </row>
    <row r="44" spans="1:10" ht="18" customHeight="1" outlineLevel="1">
      <c r="A44" s="88" t="s">
        <v>114</v>
      </c>
      <c r="B44" s="464" t="s">
        <v>115</v>
      </c>
      <c r="C44" s="464" t="s">
        <v>116</v>
      </c>
      <c r="D44" s="470" t="s">
        <v>90</v>
      </c>
      <c r="E44" s="441"/>
      <c r="F44" s="441"/>
      <c r="G44" s="441"/>
      <c r="H44" s="438"/>
      <c r="I44" s="438"/>
      <c r="J44" s="439"/>
    </row>
    <row r="45" spans="1:10" ht="16.5" customHeight="1" outlineLevel="1">
      <c r="A45" s="88" t="s">
        <v>117</v>
      </c>
      <c r="B45" s="464" t="s">
        <v>118</v>
      </c>
      <c r="C45" s="88" t="s">
        <v>119</v>
      </c>
      <c r="D45" s="470" t="s">
        <v>90</v>
      </c>
      <c r="E45" s="441"/>
      <c r="F45" s="441"/>
      <c r="G45" s="441"/>
      <c r="H45" s="438"/>
      <c r="I45" s="438"/>
      <c r="J45" s="439"/>
    </row>
    <row r="46" spans="1:10" ht="21" customHeight="1" outlineLevel="1">
      <c r="A46" s="88" t="s">
        <v>120</v>
      </c>
      <c r="B46" s="464" t="s">
        <v>121</v>
      </c>
      <c r="C46" s="464" t="s">
        <v>122</v>
      </c>
      <c r="D46" s="470" t="s">
        <v>90</v>
      </c>
      <c r="E46" s="441"/>
      <c r="F46" s="441"/>
      <c r="G46" s="441"/>
      <c r="H46" s="438"/>
      <c r="I46" s="438"/>
      <c r="J46" s="439"/>
    </row>
    <row r="47" spans="1:10" ht="18.75" customHeight="1" outlineLevel="1">
      <c r="A47" s="88" t="s">
        <v>123</v>
      </c>
      <c r="B47" s="464" t="s">
        <v>124</v>
      </c>
      <c r="C47" s="88" t="s">
        <v>125</v>
      </c>
      <c r="D47" s="470" t="s">
        <v>90</v>
      </c>
      <c r="E47" s="441"/>
      <c r="F47" s="441"/>
      <c r="G47" s="441"/>
      <c r="H47" s="438"/>
      <c r="I47" s="438"/>
      <c r="J47" s="439"/>
    </row>
    <row r="48" spans="1:10" ht="15" outlineLevel="1">
      <c r="A48" s="469" t="s">
        <v>126</v>
      </c>
      <c r="B48" s="469" t="s">
        <v>127</v>
      </c>
      <c r="C48" s="469" t="s">
        <v>128</v>
      </c>
      <c r="D48" s="470" t="s">
        <v>90</v>
      </c>
      <c r="E48" s="441"/>
      <c r="F48" s="441"/>
      <c r="G48" s="441"/>
      <c r="H48" s="438"/>
      <c r="I48" s="438"/>
      <c r="J48" s="439"/>
    </row>
    <row r="49" spans="1:10" ht="18" customHeight="1" outlineLevel="1">
      <c r="A49" s="88" t="s">
        <v>129</v>
      </c>
      <c r="B49" s="464" t="s">
        <v>130</v>
      </c>
      <c r="C49" s="88" t="s">
        <v>131</v>
      </c>
      <c r="D49" s="470" t="s">
        <v>90</v>
      </c>
      <c r="E49" s="441"/>
      <c r="F49" s="441"/>
      <c r="G49" s="441"/>
      <c r="H49" s="438"/>
      <c r="I49" s="438"/>
      <c r="J49" s="439"/>
    </row>
    <row r="50" spans="1:10" ht="19.5" customHeight="1" outlineLevel="1">
      <c r="A50" s="88" t="s">
        <v>132</v>
      </c>
      <c r="B50" s="464" t="s">
        <v>133</v>
      </c>
      <c r="C50" s="464" t="s">
        <v>134</v>
      </c>
      <c r="D50" s="470" t="s">
        <v>90</v>
      </c>
      <c r="E50" s="441"/>
      <c r="F50" s="441"/>
      <c r="G50" s="441"/>
      <c r="H50" s="438"/>
      <c r="I50" s="438"/>
      <c r="J50" s="439"/>
    </row>
    <row r="51" spans="1:10" ht="20.25" customHeight="1" outlineLevel="1">
      <c r="A51" s="88" t="s">
        <v>40</v>
      </c>
      <c r="B51" s="464" t="s">
        <v>41</v>
      </c>
      <c r="C51" s="464" t="s">
        <v>42</v>
      </c>
      <c r="D51" s="470" t="s">
        <v>90</v>
      </c>
      <c r="E51" s="441"/>
      <c r="F51" s="441"/>
      <c r="G51" s="441"/>
      <c r="H51" s="438"/>
      <c r="I51" s="438"/>
      <c r="J51" s="439"/>
    </row>
    <row r="52" spans="1:10" ht="18.75" customHeight="1" outlineLevel="1">
      <c r="A52" s="88" t="s">
        <v>135</v>
      </c>
      <c r="B52" s="471" t="s">
        <v>136</v>
      </c>
      <c r="C52" s="464" t="s">
        <v>137</v>
      </c>
      <c r="D52" s="470" t="s">
        <v>90</v>
      </c>
      <c r="E52" s="441"/>
      <c r="F52" s="441"/>
      <c r="G52" s="441"/>
      <c r="H52" s="438"/>
      <c r="I52" s="438"/>
      <c r="J52" s="439"/>
    </row>
    <row r="53" spans="1:10" ht="17.25" customHeight="1" outlineLevel="1">
      <c r="A53" s="88" t="s">
        <v>46</v>
      </c>
      <c r="B53" s="474" t="s">
        <v>47</v>
      </c>
      <c r="C53" s="464" t="s">
        <v>48</v>
      </c>
      <c r="D53" s="470" t="s">
        <v>90</v>
      </c>
      <c r="E53" s="441"/>
      <c r="F53" s="441"/>
      <c r="G53" s="441"/>
      <c r="H53" s="438"/>
      <c r="I53" s="438"/>
      <c r="J53" s="439"/>
    </row>
    <row r="54" spans="1:10" ht="18.75" customHeight="1" outlineLevel="1">
      <c r="A54" s="88" t="s">
        <v>61</v>
      </c>
      <c r="B54" s="474" t="s">
        <v>62</v>
      </c>
      <c r="C54" s="464" t="s">
        <v>138</v>
      </c>
      <c r="D54" s="470" t="s">
        <v>90</v>
      </c>
      <c r="E54" s="441"/>
      <c r="F54" s="441"/>
      <c r="G54" s="441"/>
      <c r="H54" s="438"/>
      <c r="I54" s="438"/>
      <c r="J54" s="439"/>
    </row>
    <row r="55" spans="1:10" ht="17.25" customHeight="1" outlineLevel="1">
      <c r="A55" s="88" t="s">
        <v>139</v>
      </c>
      <c r="B55" s="464" t="s">
        <v>140</v>
      </c>
      <c r="C55" s="88" t="s">
        <v>141</v>
      </c>
      <c r="D55" s="475" t="s">
        <v>90</v>
      </c>
      <c r="E55" s="441"/>
      <c r="F55" s="441"/>
      <c r="G55" s="441"/>
      <c r="H55" s="438"/>
      <c r="I55" s="438"/>
      <c r="J55" s="439"/>
    </row>
    <row r="56" spans="1:10" ht="15.75" customHeight="1" outlineLevel="1">
      <c r="A56" s="88" t="s">
        <v>142</v>
      </c>
      <c r="B56" s="476" t="s">
        <v>143</v>
      </c>
      <c r="C56" s="477" t="s">
        <v>144</v>
      </c>
      <c r="D56" s="478" t="s">
        <v>90</v>
      </c>
      <c r="E56" s="441"/>
      <c r="F56" s="441"/>
      <c r="G56" s="441"/>
      <c r="H56" s="438"/>
      <c r="I56" s="438"/>
      <c r="J56" s="439"/>
    </row>
    <row r="57" spans="1:10" ht="28.5" outlineLevel="1">
      <c r="A57" s="479" t="s">
        <v>145</v>
      </c>
      <c r="B57" s="480" t="s">
        <v>146</v>
      </c>
      <c r="C57" s="481" t="s">
        <v>147</v>
      </c>
      <c r="D57" s="482" t="s">
        <v>90</v>
      </c>
      <c r="E57" s="441"/>
      <c r="F57" s="441"/>
      <c r="G57" s="441"/>
      <c r="H57" s="438"/>
      <c r="I57" s="438"/>
      <c r="J57" s="439"/>
    </row>
    <row r="58" spans="1:10" ht="29.25" outlineLevel="1">
      <c r="A58" s="479" t="s">
        <v>52</v>
      </c>
      <c r="B58" s="483" t="s">
        <v>148</v>
      </c>
      <c r="C58" s="484" t="s">
        <v>54</v>
      </c>
      <c r="D58" s="482" t="s">
        <v>90</v>
      </c>
      <c r="E58" s="441"/>
      <c r="F58" s="441"/>
      <c r="G58" s="441"/>
      <c r="H58" s="438"/>
      <c r="I58" s="438"/>
      <c r="J58" s="439"/>
    </row>
    <row r="59" spans="1:10" ht="28.5" outlineLevel="1">
      <c r="A59" s="479" t="s">
        <v>149</v>
      </c>
      <c r="B59" s="481" t="s">
        <v>150</v>
      </c>
      <c r="C59" s="485" t="s">
        <v>151</v>
      </c>
      <c r="D59" s="486" t="s">
        <v>90</v>
      </c>
      <c r="E59" s="441"/>
      <c r="F59" s="441"/>
      <c r="G59" s="441"/>
      <c r="H59" s="438"/>
      <c r="I59" s="438"/>
      <c r="J59" s="439"/>
    </row>
    <row r="60" spans="1:10" ht="29.25" outlineLevel="1">
      <c r="A60" s="88" t="s">
        <v>152</v>
      </c>
      <c r="B60" s="487" t="s">
        <v>153</v>
      </c>
      <c r="C60" s="488" t="s">
        <v>154</v>
      </c>
      <c r="D60" s="478" t="s">
        <v>90</v>
      </c>
      <c r="E60" s="441"/>
      <c r="F60" s="441"/>
      <c r="G60" s="441"/>
      <c r="H60" s="438"/>
      <c r="I60" s="438"/>
      <c r="J60" s="439"/>
    </row>
    <row r="61" spans="1:10" ht="28.5" outlineLevel="1">
      <c r="A61" s="88" t="s">
        <v>155</v>
      </c>
      <c r="B61" s="464" t="s">
        <v>156</v>
      </c>
      <c r="C61" s="479" t="s">
        <v>157</v>
      </c>
      <c r="D61" s="478" t="s">
        <v>90</v>
      </c>
      <c r="E61" s="441"/>
      <c r="F61" s="441"/>
      <c r="G61" s="441"/>
      <c r="H61" s="438"/>
      <c r="I61" s="438"/>
      <c r="J61" s="439"/>
    </row>
    <row r="62" spans="1:10" ht="28.5" outlineLevel="1">
      <c r="A62" s="88" t="s">
        <v>158</v>
      </c>
      <c r="B62" s="464" t="s">
        <v>159</v>
      </c>
      <c r="C62" s="464" t="s">
        <v>160</v>
      </c>
      <c r="D62" s="478" t="s">
        <v>90</v>
      </c>
      <c r="E62" s="441"/>
      <c r="F62" s="441"/>
      <c r="G62" s="441"/>
      <c r="H62" s="438"/>
      <c r="I62" s="438"/>
      <c r="J62" s="439"/>
    </row>
    <row r="63" spans="1:10" ht="28.5" outlineLevel="1">
      <c r="A63" s="88" t="s">
        <v>161</v>
      </c>
      <c r="B63" s="464" t="s">
        <v>162</v>
      </c>
      <c r="C63" s="464" t="s">
        <v>163</v>
      </c>
      <c r="D63" s="478" t="s">
        <v>90</v>
      </c>
      <c r="E63" s="441"/>
      <c r="F63" s="441"/>
      <c r="G63" s="441"/>
      <c r="H63" s="438"/>
      <c r="I63" s="438"/>
      <c r="J63" s="439"/>
    </row>
    <row r="64" spans="1:10" ht="28.5" outlineLevel="1">
      <c r="A64" s="88" t="s">
        <v>164</v>
      </c>
      <c r="B64" s="464" t="s">
        <v>165</v>
      </c>
      <c r="C64" s="464" t="s">
        <v>166</v>
      </c>
      <c r="D64" s="478" t="s">
        <v>90</v>
      </c>
      <c r="E64" s="441"/>
      <c r="F64" s="441"/>
      <c r="G64" s="441"/>
      <c r="H64" s="438"/>
      <c r="I64" s="438"/>
      <c r="J64" s="439"/>
    </row>
    <row r="65" spans="1:10" ht="28.5" outlineLevel="1">
      <c r="A65" s="88" t="s">
        <v>167</v>
      </c>
      <c r="B65" s="464" t="s">
        <v>168</v>
      </c>
      <c r="C65" s="88" t="s">
        <v>169</v>
      </c>
      <c r="D65" s="478" t="s">
        <v>90</v>
      </c>
      <c r="E65" s="441"/>
      <c r="F65" s="441"/>
      <c r="G65" s="441"/>
      <c r="H65" s="438"/>
      <c r="I65" s="438"/>
      <c r="J65" s="439"/>
    </row>
    <row r="66" spans="1:10" ht="28.5" outlineLevel="1">
      <c r="A66" s="88" t="s">
        <v>170</v>
      </c>
      <c r="B66" s="464" t="s">
        <v>171</v>
      </c>
      <c r="C66" s="479" t="s">
        <v>172</v>
      </c>
      <c r="D66" s="478" t="s">
        <v>90</v>
      </c>
      <c r="E66" s="441"/>
      <c r="F66" s="441"/>
      <c r="G66" s="441"/>
      <c r="H66" s="438"/>
      <c r="I66" s="438"/>
      <c r="J66" s="439"/>
    </row>
    <row r="67" spans="1:10" ht="28.5" outlineLevel="1">
      <c r="A67" s="88" t="s">
        <v>173</v>
      </c>
      <c r="B67" s="464" t="s">
        <v>174</v>
      </c>
      <c r="C67" s="88" t="s">
        <v>175</v>
      </c>
      <c r="D67" s="478" t="s">
        <v>90</v>
      </c>
      <c r="E67" s="441"/>
      <c r="F67" s="441"/>
      <c r="G67" s="441"/>
      <c r="H67" s="438"/>
      <c r="I67" s="438"/>
      <c r="J67" s="439"/>
    </row>
    <row r="68" spans="1:10" ht="15" outlineLevel="1">
      <c r="A68" s="88" t="s">
        <v>176</v>
      </c>
      <c r="B68" s="471" t="s">
        <v>177</v>
      </c>
      <c r="C68" s="88" t="s">
        <v>178</v>
      </c>
      <c r="D68" s="478" t="s">
        <v>90</v>
      </c>
      <c r="E68" s="441"/>
      <c r="F68" s="441"/>
      <c r="G68" s="441"/>
      <c r="H68" s="438"/>
      <c r="I68" s="438"/>
      <c r="J68" s="439"/>
    </row>
    <row r="69" spans="1:10" ht="15" outlineLevel="1">
      <c r="A69" s="88" t="s">
        <v>179</v>
      </c>
      <c r="B69" s="471" t="s">
        <v>180</v>
      </c>
      <c r="C69" s="88" t="s">
        <v>181</v>
      </c>
      <c r="D69" s="478" t="s">
        <v>90</v>
      </c>
      <c r="E69" s="441"/>
      <c r="F69" s="441"/>
      <c r="G69" s="441"/>
      <c r="H69" s="438"/>
      <c r="I69" s="438"/>
      <c r="J69" s="439"/>
    </row>
    <row r="70" spans="1:10" ht="15" outlineLevel="1">
      <c r="A70" s="88" t="s">
        <v>182</v>
      </c>
      <c r="B70" s="471" t="s">
        <v>183</v>
      </c>
      <c r="C70" s="469">
        <v>862412095</v>
      </c>
      <c r="D70" s="88" t="s">
        <v>90</v>
      </c>
      <c r="E70" s="441"/>
      <c r="F70" s="441"/>
      <c r="G70" s="441"/>
      <c r="H70" s="438"/>
      <c r="I70" s="438"/>
      <c r="J70" s="439"/>
    </row>
    <row r="71" spans="1:10" ht="15" outlineLevel="1">
      <c r="A71" s="88" t="s">
        <v>184</v>
      </c>
      <c r="B71" s="471" t="s">
        <v>185</v>
      </c>
      <c r="C71" s="469">
        <v>703244160</v>
      </c>
      <c r="D71" s="489" t="s">
        <v>90</v>
      </c>
      <c r="E71" s="441"/>
      <c r="F71" s="441"/>
      <c r="G71" s="441"/>
      <c r="H71" s="438"/>
      <c r="I71" s="438"/>
      <c r="J71" s="439"/>
    </row>
    <row r="72" spans="1:10" ht="18" customHeight="1" outlineLevel="1">
      <c r="A72" s="88" t="s">
        <v>23</v>
      </c>
      <c r="B72" s="490" t="s">
        <v>24</v>
      </c>
      <c r="C72" s="88" t="s">
        <v>25</v>
      </c>
      <c r="D72" s="489" t="s">
        <v>90</v>
      </c>
      <c r="E72" s="441"/>
      <c r="F72" s="441"/>
      <c r="G72" s="441"/>
      <c r="H72" s="438"/>
      <c r="I72" s="438"/>
      <c r="J72" s="439"/>
    </row>
    <row r="73" spans="1:10" ht="18" customHeight="1" outlineLevel="1">
      <c r="A73" s="88" t="s">
        <v>186</v>
      </c>
      <c r="B73" s="464" t="s">
        <v>187</v>
      </c>
      <c r="C73" s="88" t="s">
        <v>188</v>
      </c>
      <c r="D73" s="489" t="s">
        <v>90</v>
      </c>
      <c r="E73" s="441"/>
      <c r="F73" s="441"/>
      <c r="G73" s="441"/>
      <c r="H73" s="438"/>
      <c r="I73" s="438"/>
      <c r="J73" s="439"/>
    </row>
    <row r="74" spans="1:10" outlineLevel="1">
      <c r="A74" s="491" t="s">
        <v>111</v>
      </c>
      <c r="B74" s="492" t="s">
        <v>189</v>
      </c>
      <c r="C74" s="491" t="s">
        <v>190</v>
      </c>
      <c r="D74" s="493" t="s">
        <v>191</v>
      </c>
      <c r="E74" s="441"/>
      <c r="F74" s="441"/>
      <c r="G74" s="441"/>
      <c r="H74" s="438"/>
      <c r="I74" s="438"/>
      <c r="J74" s="439"/>
    </row>
    <row r="75" spans="1:10" ht="17.25" customHeight="1" outlineLevel="1">
      <c r="A75" s="491" t="s">
        <v>192</v>
      </c>
      <c r="B75" s="494" t="s">
        <v>193</v>
      </c>
      <c r="C75" s="494" t="s">
        <v>194</v>
      </c>
      <c r="D75" s="493" t="s">
        <v>191</v>
      </c>
      <c r="E75" s="441"/>
      <c r="F75" s="441"/>
      <c r="G75" s="441"/>
      <c r="H75" s="438"/>
      <c r="I75" s="438"/>
      <c r="J75" s="439"/>
    </row>
    <row r="76" spans="1:10" outlineLevel="1">
      <c r="A76" s="491" t="s">
        <v>195</v>
      </c>
      <c r="B76" s="491"/>
      <c r="C76" s="104"/>
      <c r="D76" s="493" t="s">
        <v>191</v>
      </c>
      <c r="E76" s="441"/>
      <c r="F76" s="441"/>
      <c r="G76" s="441"/>
      <c r="H76" s="438"/>
      <c r="I76" s="438"/>
      <c r="J76" s="439"/>
    </row>
    <row r="77" spans="1:10" ht="10.5" customHeight="1" outlineLevel="1">
      <c r="A77" s="491" t="s">
        <v>196</v>
      </c>
      <c r="B77" s="495" t="s">
        <v>197</v>
      </c>
      <c r="C77" s="491">
        <v>977159246</v>
      </c>
      <c r="D77" s="493" t="s">
        <v>191</v>
      </c>
      <c r="E77" s="441"/>
      <c r="F77" s="441"/>
      <c r="G77" s="441"/>
      <c r="H77" s="438"/>
      <c r="I77" s="438"/>
      <c r="J77" s="439"/>
    </row>
    <row r="78" spans="1:10" ht="16.5" customHeight="1" outlineLevel="1">
      <c r="A78" s="491" t="s">
        <v>46</v>
      </c>
      <c r="B78" s="491" t="s">
        <v>47</v>
      </c>
      <c r="C78" s="491" t="s">
        <v>48</v>
      </c>
      <c r="D78" s="493" t="s">
        <v>191</v>
      </c>
      <c r="E78" s="441"/>
      <c r="F78" s="441"/>
      <c r="G78" s="441"/>
      <c r="H78" s="438"/>
      <c r="I78" s="438"/>
      <c r="J78" s="439"/>
    </row>
    <row r="79" spans="1:10" ht="17.25" customHeight="1" outlineLevel="1">
      <c r="A79" s="491" t="s">
        <v>114</v>
      </c>
      <c r="B79" s="496" t="s">
        <v>198</v>
      </c>
      <c r="C79" s="494" t="s">
        <v>116</v>
      </c>
      <c r="D79" s="493" t="s">
        <v>191</v>
      </c>
      <c r="E79" s="441"/>
      <c r="F79" s="441"/>
      <c r="G79" s="441"/>
      <c r="H79" s="438"/>
      <c r="I79" s="438"/>
      <c r="J79" s="439"/>
    </row>
    <row r="80" spans="1:10" ht="15" outlineLevel="1">
      <c r="A80" s="497" t="s">
        <v>199</v>
      </c>
      <c r="B80" s="498" t="s">
        <v>200</v>
      </c>
      <c r="C80" s="497" t="s">
        <v>201</v>
      </c>
      <c r="D80" s="493" t="s">
        <v>191</v>
      </c>
      <c r="E80" s="441"/>
      <c r="F80" s="441"/>
      <c r="G80" s="441"/>
      <c r="H80" s="438"/>
      <c r="I80" s="438"/>
      <c r="J80" s="439"/>
    </row>
    <row r="81" spans="1:10" ht="17.25" customHeight="1" outlineLevel="1">
      <c r="A81" s="104" t="s">
        <v>149</v>
      </c>
      <c r="B81" s="499" t="s">
        <v>150</v>
      </c>
      <c r="C81" s="104" t="s">
        <v>202</v>
      </c>
      <c r="D81" s="493" t="s">
        <v>191</v>
      </c>
      <c r="E81" s="441"/>
      <c r="F81" s="441"/>
      <c r="G81" s="441"/>
      <c r="H81" s="438"/>
      <c r="I81" s="438"/>
      <c r="J81" s="439"/>
    </row>
    <row r="82" spans="1:10" ht="17.25" customHeight="1" outlineLevel="1">
      <c r="A82" s="104" t="s">
        <v>155</v>
      </c>
      <c r="B82" s="499" t="s">
        <v>156</v>
      </c>
      <c r="C82" s="499" t="s">
        <v>203</v>
      </c>
      <c r="D82" s="493" t="s">
        <v>191</v>
      </c>
      <c r="E82" s="441"/>
      <c r="F82" s="441"/>
      <c r="G82" s="441"/>
      <c r="H82" s="438"/>
      <c r="I82" s="438"/>
      <c r="J82" s="439"/>
    </row>
    <row r="83" spans="1:10" ht="17.25" customHeight="1" outlineLevel="1">
      <c r="A83" s="104" t="s">
        <v>164</v>
      </c>
      <c r="B83" s="499" t="s">
        <v>165</v>
      </c>
      <c r="C83" s="499" t="s">
        <v>166</v>
      </c>
      <c r="D83" s="493" t="s">
        <v>191</v>
      </c>
      <c r="E83" s="441"/>
      <c r="F83" s="441"/>
      <c r="G83" s="441"/>
      <c r="H83" s="438"/>
      <c r="I83" s="438"/>
      <c r="J83" s="439"/>
    </row>
    <row r="84" spans="1:10" ht="19.5" customHeight="1" outlineLevel="1">
      <c r="A84" s="104" t="s">
        <v>204</v>
      </c>
      <c r="B84" s="499" t="s">
        <v>205</v>
      </c>
      <c r="C84" s="104" t="s">
        <v>206</v>
      </c>
      <c r="D84" s="493" t="s">
        <v>191</v>
      </c>
      <c r="E84" s="441"/>
      <c r="F84" s="441"/>
      <c r="G84" s="441"/>
      <c r="H84" s="438"/>
      <c r="I84" s="438"/>
      <c r="J84" s="439"/>
    </row>
    <row r="85" spans="1:10" ht="18.75" customHeight="1" outlineLevel="1">
      <c r="A85" s="104" t="s">
        <v>207</v>
      </c>
      <c r="B85" s="499" t="s">
        <v>208</v>
      </c>
      <c r="C85" s="499" t="s">
        <v>209</v>
      </c>
      <c r="D85" s="493" t="s">
        <v>191</v>
      </c>
      <c r="E85" s="441"/>
      <c r="F85" s="441"/>
      <c r="G85" s="441"/>
      <c r="H85" s="438"/>
      <c r="I85" s="438"/>
      <c r="J85" s="439"/>
    </row>
    <row r="86" spans="1:10" ht="20.25" customHeight="1" outlineLevel="1">
      <c r="A86" s="104" t="s">
        <v>94</v>
      </c>
      <c r="B86" s="499" t="s">
        <v>95</v>
      </c>
      <c r="C86" s="499" t="s">
        <v>96</v>
      </c>
      <c r="D86" s="493" t="s">
        <v>191</v>
      </c>
      <c r="E86" s="441"/>
      <c r="F86" s="441"/>
      <c r="G86" s="441"/>
      <c r="H86" s="438"/>
      <c r="I86" s="438"/>
      <c r="J86" s="439"/>
    </row>
    <row r="87" spans="1:10" ht="19.5" customHeight="1" outlineLevel="1">
      <c r="A87" s="104" t="s">
        <v>145</v>
      </c>
      <c r="B87" s="499" t="s">
        <v>146</v>
      </c>
      <c r="C87" s="499" t="s">
        <v>147</v>
      </c>
      <c r="D87" s="493" t="s">
        <v>191</v>
      </c>
      <c r="E87" s="441"/>
      <c r="F87" s="441"/>
      <c r="G87" s="441"/>
      <c r="H87" s="438"/>
      <c r="I87" s="438"/>
      <c r="J87" s="439"/>
    </row>
    <row r="88" spans="1:10" ht="17.25" customHeight="1" outlineLevel="1">
      <c r="A88" s="104" t="s">
        <v>210</v>
      </c>
      <c r="B88" s="499" t="s">
        <v>211</v>
      </c>
      <c r="C88" s="499" t="s">
        <v>212</v>
      </c>
      <c r="D88" s="493" t="s">
        <v>191</v>
      </c>
      <c r="E88" s="441"/>
      <c r="F88" s="441"/>
      <c r="G88" s="441"/>
      <c r="H88" s="438"/>
      <c r="I88" s="438"/>
      <c r="J88" s="439"/>
    </row>
    <row r="89" spans="1:10" ht="30" outlineLevel="1">
      <c r="A89" s="104" t="s">
        <v>213</v>
      </c>
      <c r="B89" s="500" t="s">
        <v>214</v>
      </c>
      <c r="C89" s="499" t="s">
        <v>215</v>
      </c>
      <c r="D89" s="493" t="s">
        <v>191</v>
      </c>
      <c r="E89" s="441"/>
      <c r="F89" s="441"/>
      <c r="G89" s="441"/>
      <c r="H89" s="438"/>
      <c r="I89" s="438"/>
      <c r="J89" s="439"/>
    </row>
    <row r="90" spans="1:10" ht="27" outlineLevel="1">
      <c r="A90" s="501" t="s">
        <v>216</v>
      </c>
      <c r="B90" s="502" t="s">
        <v>217</v>
      </c>
      <c r="C90" s="536" t="s">
        <v>218</v>
      </c>
      <c r="D90" s="493" t="s">
        <v>191</v>
      </c>
      <c r="E90" s="441"/>
      <c r="F90" s="441"/>
      <c r="G90" s="441"/>
      <c r="H90" s="438"/>
      <c r="I90" s="438"/>
      <c r="J90" s="439"/>
    </row>
    <row r="91" spans="1:10" ht="15" outlineLevel="1">
      <c r="A91" s="104" t="s">
        <v>219</v>
      </c>
      <c r="B91" s="503" t="s">
        <v>220</v>
      </c>
      <c r="C91" s="537" t="s">
        <v>221</v>
      </c>
      <c r="D91" s="493" t="s">
        <v>191</v>
      </c>
      <c r="E91" s="441"/>
      <c r="F91" s="441"/>
      <c r="G91" s="441"/>
      <c r="H91" s="438"/>
      <c r="I91" s="438"/>
      <c r="J91" s="439"/>
    </row>
    <row r="92" spans="1:10" ht="27" outlineLevel="1">
      <c r="A92" s="104" t="s">
        <v>222</v>
      </c>
      <c r="B92" s="499" t="s">
        <v>223</v>
      </c>
      <c r="C92" s="499" t="s">
        <v>224</v>
      </c>
      <c r="D92" s="504" t="s">
        <v>191</v>
      </c>
      <c r="E92" s="441"/>
      <c r="F92" s="441"/>
      <c r="G92" s="441"/>
      <c r="H92" s="438"/>
      <c r="I92" s="438"/>
      <c r="J92" s="439"/>
    </row>
    <row r="93" spans="1:10" ht="28.5" outlineLevel="1">
      <c r="A93" s="104" t="s">
        <v>158</v>
      </c>
      <c r="B93" s="503" t="s">
        <v>225</v>
      </c>
      <c r="C93" s="505" t="s">
        <v>160</v>
      </c>
      <c r="D93" s="506" t="s">
        <v>191</v>
      </c>
      <c r="E93" s="441"/>
      <c r="F93" s="441"/>
      <c r="G93" s="441"/>
      <c r="H93" s="438"/>
      <c r="I93" s="438"/>
      <c r="J93" s="439"/>
    </row>
    <row r="94" spans="1:10" ht="27" outlineLevel="1">
      <c r="A94" s="104" t="s">
        <v>226</v>
      </c>
      <c r="B94" s="499" t="s">
        <v>227</v>
      </c>
      <c r="C94" s="104" t="s">
        <v>228</v>
      </c>
      <c r="D94" s="506" t="s">
        <v>191</v>
      </c>
      <c r="E94" s="441"/>
      <c r="F94" s="441"/>
      <c r="G94" s="441"/>
      <c r="H94" s="438"/>
      <c r="I94" s="438"/>
      <c r="J94" s="439"/>
    </row>
    <row r="95" spans="1:10" ht="27" outlineLevel="1">
      <c r="A95" s="104" t="s">
        <v>229</v>
      </c>
      <c r="B95" s="499" t="s">
        <v>230</v>
      </c>
      <c r="C95" s="499" t="s">
        <v>231</v>
      </c>
      <c r="D95" s="506" t="s">
        <v>191</v>
      </c>
      <c r="E95" s="441"/>
      <c r="F95" s="441"/>
      <c r="G95" s="441"/>
      <c r="H95" s="438"/>
      <c r="I95" s="438"/>
      <c r="J95" s="439"/>
    </row>
    <row r="96" spans="1:10" ht="27" outlineLevel="1">
      <c r="A96" s="104" t="s">
        <v>232</v>
      </c>
      <c r="B96" s="499" t="s">
        <v>233</v>
      </c>
      <c r="C96" s="499" t="s">
        <v>234</v>
      </c>
      <c r="D96" s="506" t="s">
        <v>191</v>
      </c>
      <c r="E96" s="441"/>
      <c r="F96" s="441"/>
      <c r="G96" s="441"/>
      <c r="H96" s="438"/>
      <c r="I96" s="438"/>
      <c r="J96" s="439"/>
    </row>
    <row r="97" spans="1:10" ht="15" outlineLevel="1">
      <c r="A97" s="104" t="s">
        <v>235</v>
      </c>
      <c r="B97" s="503" t="s">
        <v>236</v>
      </c>
      <c r="C97" s="537" t="s">
        <v>237</v>
      </c>
      <c r="D97" s="506" t="s">
        <v>191</v>
      </c>
      <c r="E97" s="441"/>
      <c r="F97" s="441"/>
      <c r="G97" s="441"/>
      <c r="H97" s="438"/>
      <c r="I97" s="438"/>
      <c r="J97" s="439"/>
    </row>
    <row r="98" spans="1:10" outlineLevel="1">
      <c r="A98" s="507" t="s">
        <v>20</v>
      </c>
      <c r="B98" s="507" t="s">
        <v>238</v>
      </c>
      <c r="C98" s="265" t="s">
        <v>22</v>
      </c>
      <c r="D98" s="506" t="s">
        <v>191</v>
      </c>
      <c r="E98" s="441"/>
      <c r="F98" s="441"/>
      <c r="G98" s="441"/>
      <c r="H98" s="438"/>
      <c r="I98" s="438"/>
      <c r="J98" s="439"/>
    </row>
    <row r="99" spans="1:10" ht="15" outlineLevel="1">
      <c r="A99" s="104" t="s">
        <v>239</v>
      </c>
      <c r="B99" s="503" t="s">
        <v>240</v>
      </c>
      <c r="C99" s="104" t="s">
        <v>241</v>
      </c>
      <c r="D99" s="506" t="s">
        <v>191</v>
      </c>
      <c r="E99" s="441"/>
      <c r="F99" s="441"/>
      <c r="G99" s="441"/>
      <c r="H99" s="438"/>
      <c r="I99" s="438"/>
      <c r="J99" s="439"/>
    </row>
    <row r="100" spans="1:10" ht="27" outlineLevel="1">
      <c r="A100" s="104" t="s">
        <v>242</v>
      </c>
      <c r="B100" s="499" t="s">
        <v>243</v>
      </c>
      <c r="C100" s="499" t="s">
        <v>100</v>
      </c>
      <c r="D100" s="104" t="s">
        <v>191</v>
      </c>
      <c r="E100" s="441"/>
      <c r="F100" s="441"/>
      <c r="G100" s="441"/>
      <c r="H100" s="438"/>
      <c r="I100" s="438"/>
      <c r="J100" s="439"/>
    </row>
    <row r="101" spans="1:10" ht="27" outlineLevel="1">
      <c r="A101" s="104" t="s">
        <v>244</v>
      </c>
      <c r="B101" s="499" t="s">
        <v>245</v>
      </c>
      <c r="C101" s="499" t="s">
        <v>246</v>
      </c>
      <c r="D101" s="104" t="s">
        <v>191</v>
      </c>
      <c r="E101" s="441"/>
      <c r="F101" s="441"/>
      <c r="G101" s="441"/>
      <c r="H101" s="438"/>
      <c r="I101" s="438"/>
      <c r="J101" s="439"/>
    </row>
    <row r="102" spans="1:10" ht="27" outlineLevel="1">
      <c r="A102" s="104" t="s">
        <v>77</v>
      </c>
      <c r="B102" s="499" t="s">
        <v>78</v>
      </c>
      <c r="C102" s="499" t="s">
        <v>79</v>
      </c>
      <c r="D102" s="104" t="s">
        <v>191</v>
      </c>
      <c r="E102" s="441"/>
      <c r="F102" s="441"/>
      <c r="G102" s="438"/>
      <c r="H102" s="438"/>
      <c r="I102" s="438"/>
      <c r="J102" s="439"/>
    </row>
    <row r="103" spans="1:10" ht="27" outlineLevel="1">
      <c r="A103" s="104" t="s">
        <v>247</v>
      </c>
      <c r="B103" s="499" t="s">
        <v>121</v>
      </c>
      <c r="C103" s="499" t="s">
        <v>122</v>
      </c>
      <c r="D103" s="104" t="s">
        <v>191</v>
      </c>
      <c r="E103" s="441"/>
      <c r="F103" s="441"/>
      <c r="G103" s="438"/>
      <c r="H103" s="438"/>
      <c r="I103" s="438"/>
      <c r="J103" s="439"/>
    </row>
    <row r="104" spans="1:10" ht="15" outlineLevel="1">
      <c r="A104" s="104" t="s">
        <v>248</v>
      </c>
      <c r="B104" s="503" t="s">
        <v>249</v>
      </c>
      <c r="C104" s="104" t="s">
        <v>250</v>
      </c>
      <c r="D104" s="104" t="s">
        <v>191</v>
      </c>
      <c r="E104" s="441"/>
      <c r="F104" s="441"/>
      <c r="G104" s="438"/>
      <c r="H104" s="438"/>
      <c r="I104" s="438"/>
      <c r="J104" s="439"/>
    </row>
    <row r="105" spans="1:10" ht="28.5" outlineLevel="1">
      <c r="A105" s="104" t="s">
        <v>65</v>
      </c>
      <c r="B105" s="503" t="s">
        <v>66</v>
      </c>
      <c r="C105" s="505" t="s">
        <v>67</v>
      </c>
      <c r="D105" s="104" t="s">
        <v>191</v>
      </c>
      <c r="E105" s="441"/>
      <c r="F105" s="441"/>
      <c r="G105" s="438"/>
      <c r="H105" s="438"/>
      <c r="I105" s="438"/>
      <c r="J105" s="439"/>
    </row>
    <row r="106" spans="1:10" ht="27" outlineLevel="1">
      <c r="A106" s="104" t="s">
        <v>251</v>
      </c>
      <c r="B106" s="499" t="s">
        <v>252</v>
      </c>
      <c r="C106" s="499" t="s">
        <v>253</v>
      </c>
      <c r="D106" s="104" t="s">
        <v>191</v>
      </c>
      <c r="E106" s="441"/>
      <c r="F106" s="441"/>
      <c r="G106" s="438"/>
      <c r="H106" s="438"/>
      <c r="I106" s="438"/>
      <c r="J106" s="439"/>
    </row>
    <row r="107" spans="1:10" outlineLevel="1">
      <c r="A107" s="508" t="s">
        <v>114</v>
      </c>
      <c r="B107" s="509" t="s">
        <v>198</v>
      </c>
      <c r="C107" s="508" t="s">
        <v>254</v>
      </c>
      <c r="D107" s="510" t="s">
        <v>255</v>
      </c>
      <c r="E107" s="441"/>
      <c r="F107" s="441"/>
      <c r="G107" s="438"/>
      <c r="H107" s="438"/>
      <c r="I107" s="438"/>
      <c r="J107" s="439"/>
    </row>
    <row r="108" spans="1:10" outlineLevel="1">
      <c r="A108" s="511" t="s">
        <v>256</v>
      </c>
      <c r="B108" s="141" t="s">
        <v>257</v>
      </c>
      <c r="C108" s="538" t="s">
        <v>258</v>
      </c>
      <c r="D108" s="510" t="s">
        <v>255</v>
      </c>
      <c r="E108" s="441"/>
      <c r="F108" s="441"/>
      <c r="G108" s="438"/>
      <c r="H108" s="438"/>
      <c r="I108" s="438"/>
      <c r="J108" s="439"/>
    </row>
    <row r="109" spans="1:10" outlineLevel="1">
      <c r="A109" s="508" t="s">
        <v>259</v>
      </c>
      <c r="B109" s="512" t="s">
        <v>260</v>
      </c>
      <c r="C109" s="508" t="s">
        <v>261</v>
      </c>
      <c r="D109" s="510" t="s">
        <v>255</v>
      </c>
      <c r="E109" s="441"/>
      <c r="F109" s="441"/>
      <c r="G109" s="438"/>
      <c r="H109" s="438"/>
      <c r="I109" s="438"/>
      <c r="J109" s="439"/>
    </row>
    <row r="110" spans="1:10" outlineLevel="1">
      <c r="A110" s="508" t="s">
        <v>262</v>
      </c>
      <c r="B110" s="508" t="s">
        <v>263</v>
      </c>
      <c r="C110" s="508" t="s">
        <v>264</v>
      </c>
      <c r="D110" s="510" t="s">
        <v>255</v>
      </c>
      <c r="E110" s="441"/>
      <c r="F110" s="441"/>
      <c r="G110" s="438"/>
      <c r="H110" s="438"/>
      <c r="I110" s="438"/>
      <c r="J110" s="439"/>
    </row>
    <row r="111" spans="1:10" outlineLevel="1">
      <c r="A111" s="508" t="s">
        <v>265</v>
      </c>
      <c r="B111" s="508" t="s">
        <v>266</v>
      </c>
      <c r="C111" s="508" t="s">
        <v>267</v>
      </c>
      <c r="D111" s="510" t="s">
        <v>255</v>
      </c>
      <c r="E111" s="441"/>
      <c r="F111" s="441"/>
      <c r="G111" s="438"/>
      <c r="H111" s="438"/>
      <c r="I111" s="438"/>
      <c r="J111" s="439"/>
    </row>
    <row r="112" spans="1:10" outlineLevel="1">
      <c r="A112" s="508" t="s">
        <v>268</v>
      </c>
      <c r="B112" s="508" t="s">
        <v>269</v>
      </c>
      <c r="C112" s="508" t="s">
        <v>270</v>
      </c>
      <c r="D112" s="510" t="s">
        <v>255</v>
      </c>
      <c r="E112" s="441"/>
      <c r="F112" s="441"/>
      <c r="G112" s="438"/>
      <c r="H112" s="438"/>
      <c r="I112" s="438"/>
      <c r="J112" s="439"/>
    </row>
    <row r="113" spans="1:10" outlineLevel="1">
      <c r="A113" s="513" t="s">
        <v>271</v>
      </c>
      <c r="B113" s="513" t="s">
        <v>272</v>
      </c>
      <c r="C113" s="513" t="s">
        <v>273</v>
      </c>
      <c r="D113" s="510" t="s">
        <v>255</v>
      </c>
      <c r="E113" s="441"/>
      <c r="F113" s="441"/>
      <c r="G113" s="438"/>
      <c r="H113" s="438"/>
      <c r="I113" s="438"/>
      <c r="J113" s="439"/>
    </row>
    <row r="114" spans="1:10" outlineLevel="1">
      <c r="A114" s="513" t="s">
        <v>274</v>
      </c>
      <c r="B114" s="513" t="s">
        <v>275</v>
      </c>
      <c r="C114" s="513" t="s">
        <v>276</v>
      </c>
      <c r="D114" s="510" t="s">
        <v>255</v>
      </c>
      <c r="E114" s="441"/>
      <c r="F114" s="441"/>
      <c r="G114" s="438"/>
      <c r="H114" s="438"/>
      <c r="I114" s="438"/>
      <c r="J114" s="439"/>
    </row>
    <row r="115" spans="1:10" ht="15" outlineLevel="1">
      <c r="A115" s="513" t="s">
        <v>277</v>
      </c>
      <c r="B115" s="514" t="s">
        <v>278</v>
      </c>
      <c r="C115" s="513" t="s">
        <v>279</v>
      </c>
      <c r="D115" s="510" t="s">
        <v>255</v>
      </c>
      <c r="E115" s="441"/>
      <c r="F115" s="441"/>
      <c r="G115" s="438"/>
      <c r="H115" s="438"/>
      <c r="I115" s="438"/>
      <c r="J115" s="439"/>
    </row>
    <row r="116" spans="1:10" ht="15" outlineLevel="1">
      <c r="A116" s="513" t="s">
        <v>280</v>
      </c>
      <c r="B116" s="515" t="s">
        <v>281</v>
      </c>
      <c r="C116" s="513" t="s">
        <v>282</v>
      </c>
      <c r="D116" s="516" t="s">
        <v>255</v>
      </c>
      <c r="E116" s="441"/>
      <c r="F116" s="441"/>
      <c r="G116" s="438"/>
      <c r="H116" s="438"/>
      <c r="I116" s="438"/>
      <c r="J116" s="439"/>
    </row>
    <row r="117" spans="1:10" ht="27" outlineLevel="1">
      <c r="A117" s="517" t="s">
        <v>283</v>
      </c>
      <c r="B117" s="517" t="s">
        <v>284</v>
      </c>
      <c r="C117" s="510" t="s">
        <v>285</v>
      </c>
      <c r="D117" s="141" t="s">
        <v>255</v>
      </c>
      <c r="E117" s="441"/>
      <c r="F117" s="441"/>
      <c r="G117" s="438"/>
      <c r="H117" s="438"/>
      <c r="I117" s="438"/>
      <c r="J117" s="439"/>
    </row>
    <row r="118" spans="1:10" ht="27" outlineLevel="1">
      <c r="A118" s="517" t="s">
        <v>283</v>
      </c>
      <c r="B118" s="517" t="s">
        <v>284</v>
      </c>
      <c r="C118" s="510" t="s">
        <v>285</v>
      </c>
      <c r="D118" s="518" t="s">
        <v>255</v>
      </c>
      <c r="E118" s="441"/>
      <c r="F118" s="441"/>
      <c r="G118" s="438"/>
      <c r="H118" s="438"/>
      <c r="I118" s="438"/>
      <c r="J118" s="439"/>
    </row>
    <row r="119" spans="1:10" ht="15">
      <c r="A119" s="130" t="s">
        <v>286</v>
      </c>
      <c r="B119" s="519" t="s">
        <v>136</v>
      </c>
      <c r="C119" s="520" t="s">
        <v>287</v>
      </c>
      <c r="D119" s="141" t="s">
        <v>255</v>
      </c>
      <c r="E119" s="441"/>
      <c r="F119" s="441"/>
      <c r="G119" s="438"/>
      <c r="H119" s="438"/>
      <c r="I119" s="438"/>
      <c r="J119" s="439"/>
    </row>
    <row r="120" spans="1:10" ht="28.5" outlineLevel="1">
      <c r="A120" s="130" t="s">
        <v>288</v>
      </c>
      <c r="B120" s="519" t="s">
        <v>289</v>
      </c>
      <c r="C120" s="517" t="s">
        <v>290</v>
      </c>
      <c r="D120" s="521" t="s">
        <v>255</v>
      </c>
      <c r="E120" s="441"/>
      <c r="F120" s="441"/>
      <c r="G120" s="438"/>
      <c r="H120" s="438"/>
      <c r="I120" s="438"/>
      <c r="J120" s="439"/>
    </row>
    <row r="121" spans="1:10" ht="27" outlineLevel="1">
      <c r="A121" s="130" t="s">
        <v>291</v>
      </c>
      <c r="B121" s="517" t="s">
        <v>292</v>
      </c>
      <c r="C121" s="517" t="s">
        <v>293</v>
      </c>
      <c r="D121" s="521" t="s">
        <v>255</v>
      </c>
      <c r="E121" s="441"/>
      <c r="F121" s="441"/>
      <c r="G121" s="438"/>
      <c r="H121" s="438"/>
      <c r="I121" s="438"/>
      <c r="J121" s="439"/>
    </row>
    <row r="122" spans="1:10" ht="15" outlineLevel="1">
      <c r="A122" s="130" t="s">
        <v>294</v>
      </c>
      <c r="B122" s="522" t="s">
        <v>295</v>
      </c>
      <c r="C122" s="130" t="s">
        <v>131</v>
      </c>
      <c r="D122" s="521" t="s">
        <v>255</v>
      </c>
      <c r="E122" s="441"/>
      <c r="F122" s="441"/>
      <c r="G122" s="438"/>
      <c r="H122" s="438"/>
      <c r="I122" s="438"/>
      <c r="J122" s="439"/>
    </row>
    <row r="123" spans="1:10" ht="27" outlineLevel="1">
      <c r="A123" s="130" t="s">
        <v>296</v>
      </c>
      <c r="B123" s="517" t="s">
        <v>297</v>
      </c>
      <c r="C123" s="517" t="s">
        <v>298</v>
      </c>
      <c r="D123" s="521" t="s">
        <v>255</v>
      </c>
      <c r="E123" s="441"/>
      <c r="F123" s="441"/>
      <c r="G123" s="438"/>
      <c r="H123" s="438"/>
      <c r="I123" s="438"/>
      <c r="J123" s="439"/>
    </row>
    <row r="124" spans="1:10" ht="27" outlineLevel="1">
      <c r="A124" s="130" t="s">
        <v>296</v>
      </c>
      <c r="B124" s="517" t="s">
        <v>297</v>
      </c>
      <c r="C124" s="517" t="s">
        <v>298</v>
      </c>
      <c r="D124" s="521" t="s">
        <v>255</v>
      </c>
      <c r="E124" s="441"/>
      <c r="F124" s="441"/>
      <c r="G124" s="438"/>
      <c r="H124" s="438"/>
      <c r="I124" s="438"/>
      <c r="J124" s="439"/>
    </row>
    <row r="125" spans="1:10" ht="27" outlineLevel="1">
      <c r="A125" s="130" t="s">
        <v>299</v>
      </c>
      <c r="B125" s="517" t="s">
        <v>133</v>
      </c>
      <c r="C125" s="517" t="s">
        <v>134</v>
      </c>
      <c r="D125" s="521" t="s">
        <v>255</v>
      </c>
      <c r="E125" s="441"/>
      <c r="F125" s="441"/>
      <c r="G125" s="438"/>
      <c r="H125" s="438"/>
      <c r="I125" s="438"/>
      <c r="J125" s="439"/>
    </row>
    <row r="126" spans="1:10" ht="27" outlineLevel="1">
      <c r="A126" s="130" t="s">
        <v>300</v>
      </c>
      <c r="B126" s="517" t="s">
        <v>301</v>
      </c>
      <c r="C126" s="517" t="s">
        <v>302</v>
      </c>
      <c r="D126" s="521" t="s">
        <v>255</v>
      </c>
      <c r="E126" s="441"/>
      <c r="F126" s="441"/>
      <c r="G126" s="438"/>
      <c r="H126" s="438"/>
      <c r="I126" s="438"/>
      <c r="J126" s="439"/>
    </row>
    <row r="127" spans="1:10" ht="27" outlineLevel="1">
      <c r="A127" s="130" t="s">
        <v>300</v>
      </c>
      <c r="B127" s="517" t="s">
        <v>301</v>
      </c>
      <c r="C127" s="517" t="s">
        <v>302</v>
      </c>
      <c r="D127" s="521" t="s">
        <v>255</v>
      </c>
      <c r="E127" s="441"/>
      <c r="F127" s="441"/>
      <c r="G127" s="438"/>
      <c r="H127" s="438"/>
      <c r="I127" s="438"/>
      <c r="J127" s="439"/>
    </row>
    <row r="128" spans="1:10" ht="27" outlineLevel="1">
      <c r="A128" s="130" t="s">
        <v>164</v>
      </c>
      <c r="B128" s="517" t="s">
        <v>165</v>
      </c>
      <c r="C128" s="517" t="s">
        <v>166</v>
      </c>
      <c r="D128" s="521" t="s">
        <v>255</v>
      </c>
      <c r="E128" s="441"/>
      <c r="F128" s="441"/>
      <c r="G128" s="438"/>
      <c r="H128" s="438"/>
      <c r="I128" s="438"/>
      <c r="J128" s="439"/>
    </row>
    <row r="129" spans="1:14" ht="27" outlineLevel="1">
      <c r="A129" s="130" t="s">
        <v>303</v>
      </c>
      <c r="B129" s="517" t="s">
        <v>304</v>
      </c>
      <c r="C129" s="517" t="s">
        <v>305</v>
      </c>
      <c r="D129" s="521" t="s">
        <v>255</v>
      </c>
      <c r="E129" s="441"/>
      <c r="F129" s="441"/>
      <c r="G129" s="438"/>
      <c r="H129" s="438"/>
      <c r="I129" s="438"/>
      <c r="J129" s="439"/>
    </row>
    <row r="130" spans="1:14" s="433" customFormat="1" ht="18.75" customHeight="1" outlineLevel="1">
      <c r="A130" s="130" t="s">
        <v>306</v>
      </c>
      <c r="B130" s="517" t="s">
        <v>307</v>
      </c>
      <c r="C130" s="130"/>
      <c r="D130" s="521" t="s">
        <v>255</v>
      </c>
      <c r="E130" s="441"/>
      <c r="F130" s="441"/>
      <c r="G130" s="438"/>
      <c r="H130" s="438"/>
      <c r="I130" s="438"/>
      <c r="J130" s="523"/>
      <c r="K130" s="524"/>
      <c r="L130" s="524"/>
      <c r="M130" s="524"/>
      <c r="N130" s="524"/>
    </row>
    <row r="131" spans="1:14" ht="20.25" customHeight="1" outlineLevel="1">
      <c r="A131" s="130" t="s">
        <v>308</v>
      </c>
      <c r="B131" s="517" t="s">
        <v>309</v>
      </c>
      <c r="C131" s="130" t="s">
        <v>310</v>
      </c>
      <c r="D131" s="521" t="s">
        <v>255</v>
      </c>
      <c r="E131" s="441"/>
      <c r="F131" s="441"/>
      <c r="G131" s="438"/>
      <c r="H131" s="438"/>
      <c r="I131" s="438"/>
      <c r="J131" s="439"/>
    </row>
    <row r="132" spans="1:14" ht="28.5">
      <c r="A132" s="130" t="s">
        <v>222</v>
      </c>
      <c r="B132" s="522" t="s">
        <v>311</v>
      </c>
      <c r="C132" s="517" t="s">
        <v>224</v>
      </c>
      <c r="D132" s="521" t="s">
        <v>255</v>
      </c>
      <c r="E132" s="46"/>
      <c r="F132" s="46"/>
      <c r="G132" s="46"/>
      <c r="H132" s="46"/>
      <c r="I132" s="46"/>
    </row>
    <row r="133" spans="1:14" ht="27">
      <c r="A133" s="130" t="s">
        <v>312</v>
      </c>
      <c r="B133" s="517" t="s">
        <v>313</v>
      </c>
      <c r="C133" s="130"/>
      <c r="D133" s="521" t="s">
        <v>255</v>
      </c>
    </row>
    <row r="134" spans="1:14" ht="27">
      <c r="A134" s="130" t="s">
        <v>314</v>
      </c>
      <c r="B134" s="517" t="s">
        <v>315</v>
      </c>
      <c r="C134" s="517" t="s">
        <v>316</v>
      </c>
      <c r="D134" s="521" t="s">
        <v>255</v>
      </c>
    </row>
    <row r="135" spans="1:14" ht="27">
      <c r="A135" s="130" t="s">
        <v>210</v>
      </c>
      <c r="B135" s="517" t="s">
        <v>211</v>
      </c>
      <c r="C135" s="517" t="s">
        <v>212</v>
      </c>
      <c r="D135" s="521" t="s">
        <v>255</v>
      </c>
    </row>
    <row r="136" spans="1:14" ht="27">
      <c r="A136" s="130" t="s">
        <v>317</v>
      </c>
      <c r="B136" s="517" t="s">
        <v>318</v>
      </c>
      <c r="C136" s="517" t="s">
        <v>319</v>
      </c>
      <c r="D136" s="521" t="s">
        <v>255</v>
      </c>
    </row>
    <row r="137" spans="1:14" ht="27">
      <c r="A137" s="130" t="s">
        <v>317</v>
      </c>
      <c r="B137" s="517" t="s">
        <v>318</v>
      </c>
      <c r="C137" s="517" t="s">
        <v>319</v>
      </c>
      <c r="D137" s="521" t="s">
        <v>255</v>
      </c>
    </row>
    <row r="138" spans="1:14" ht="27">
      <c r="A138" s="130" t="s">
        <v>320</v>
      </c>
      <c r="B138" s="517" t="s">
        <v>321</v>
      </c>
      <c r="C138" s="517" t="s">
        <v>54</v>
      </c>
      <c r="D138" s="521" t="s">
        <v>255</v>
      </c>
    </row>
    <row r="139" spans="1:14" ht="27">
      <c r="A139" s="130" t="s">
        <v>320</v>
      </c>
      <c r="B139" s="517" t="s">
        <v>321</v>
      </c>
      <c r="C139" s="517" t="s">
        <v>54</v>
      </c>
      <c r="D139" s="521" t="s">
        <v>255</v>
      </c>
    </row>
    <row r="140" spans="1:14" ht="27">
      <c r="A140" s="508" t="s">
        <v>322</v>
      </c>
      <c r="B140" s="525" t="s">
        <v>323</v>
      </c>
      <c r="C140" s="508" t="s">
        <v>324</v>
      </c>
      <c r="D140" s="518" t="s">
        <v>255</v>
      </c>
    </row>
    <row r="141" spans="1:14" ht="15">
      <c r="A141" s="130" t="s">
        <v>325</v>
      </c>
      <c r="B141" s="526" t="s">
        <v>326</v>
      </c>
      <c r="C141" s="130" t="s">
        <v>327</v>
      </c>
      <c r="D141" s="521" t="s">
        <v>255</v>
      </c>
    </row>
    <row r="142" spans="1:14" ht="15">
      <c r="A142" s="130" t="s">
        <v>325</v>
      </c>
      <c r="B142" s="526" t="s">
        <v>326</v>
      </c>
      <c r="C142" s="130" t="s">
        <v>327</v>
      </c>
      <c r="D142" s="521" t="s">
        <v>255</v>
      </c>
    </row>
    <row r="143" spans="1:14" ht="15">
      <c r="A143" s="130" t="s">
        <v>328</v>
      </c>
      <c r="B143" s="522" t="s">
        <v>329</v>
      </c>
      <c r="C143" s="130" t="s">
        <v>330</v>
      </c>
      <c r="D143" s="521" t="s">
        <v>255</v>
      </c>
    </row>
    <row r="144" spans="1:14" ht="15">
      <c r="A144" s="130"/>
      <c r="B144" s="522"/>
      <c r="C144" s="130"/>
      <c r="D144" s="521"/>
    </row>
    <row r="145" spans="1:4" ht="15">
      <c r="A145" s="130" t="s">
        <v>328</v>
      </c>
      <c r="B145" s="522" t="s">
        <v>329</v>
      </c>
      <c r="C145" s="130" t="s">
        <v>330</v>
      </c>
      <c r="D145" s="521" t="s">
        <v>255</v>
      </c>
    </row>
    <row r="146" spans="1:4" ht="21.75" customHeight="1">
      <c r="A146" s="517" t="s">
        <v>331</v>
      </c>
      <c r="B146" s="517" t="s">
        <v>332</v>
      </c>
      <c r="C146" s="517" t="s">
        <v>333</v>
      </c>
      <c r="D146" s="521" t="s">
        <v>255</v>
      </c>
    </row>
    <row r="147" spans="1:4" ht="15">
      <c r="A147" s="130" t="s">
        <v>334</v>
      </c>
      <c r="B147" s="522" t="s">
        <v>335</v>
      </c>
      <c r="C147" s="130" t="s">
        <v>336</v>
      </c>
      <c r="D147" s="521" t="s">
        <v>255</v>
      </c>
    </row>
    <row r="148" spans="1:4" ht="27">
      <c r="A148" s="130" t="s">
        <v>232</v>
      </c>
      <c r="B148" s="517" t="s">
        <v>233</v>
      </c>
      <c r="C148" s="517" t="s">
        <v>234</v>
      </c>
      <c r="D148" s="521" t="s">
        <v>255</v>
      </c>
    </row>
    <row r="149" spans="1:4" ht="15">
      <c r="A149" s="130" t="s">
        <v>235</v>
      </c>
      <c r="B149" s="522" t="s">
        <v>236</v>
      </c>
      <c r="C149" s="539" t="s">
        <v>237</v>
      </c>
      <c r="D149" s="521" t="s">
        <v>255</v>
      </c>
    </row>
    <row r="150" spans="1:4" ht="27">
      <c r="A150" s="130" t="s">
        <v>312</v>
      </c>
      <c r="B150" s="517" t="s">
        <v>313</v>
      </c>
      <c r="D150" s="521" t="s">
        <v>255</v>
      </c>
    </row>
    <row r="151" spans="1:4" ht="30" customHeight="1">
      <c r="A151" s="130" t="s">
        <v>337</v>
      </c>
      <c r="B151" s="517" t="s">
        <v>338</v>
      </c>
      <c r="C151" s="517" t="s">
        <v>339</v>
      </c>
      <c r="D151" s="518" t="s">
        <v>255</v>
      </c>
    </row>
    <row r="152" spans="1:4" ht="21.75" customHeight="1">
      <c r="A152" s="130" t="s">
        <v>340</v>
      </c>
      <c r="B152" s="517" t="s">
        <v>341</v>
      </c>
      <c r="C152" s="517" t="s">
        <v>342</v>
      </c>
      <c r="D152" s="130" t="s">
        <v>255</v>
      </c>
    </row>
    <row r="153" spans="1:4" ht="15">
      <c r="A153" s="130" t="s">
        <v>170</v>
      </c>
      <c r="B153" s="527" t="s">
        <v>343</v>
      </c>
      <c r="C153" s="510">
        <v>379859456</v>
      </c>
      <c r="D153" s="141" t="s">
        <v>255</v>
      </c>
    </row>
    <row r="154" spans="1:4" ht="27">
      <c r="A154" s="510" t="s">
        <v>344</v>
      </c>
      <c r="B154" s="528" t="s">
        <v>345</v>
      </c>
      <c r="C154" s="529" t="s">
        <v>346</v>
      </c>
      <c r="D154" s="141" t="s">
        <v>255</v>
      </c>
    </row>
    <row r="155" spans="1:4" ht="15">
      <c r="A155" s="130" t="s">
        <v>347</v>
      </c>
      <c r="B155" s="530" t="s">
        <v>348</v>
      </c>
      <c r="C155" s="130"/>
      <c r="D155" s="141" t="s">
        <v>255</v>
      </c>
    </row>
    <row r="156" spans="1:4" ht="27">
      <c r="A156" s="130" t="s">
        <v>349</v>
      </c>
      <c r="B156" s="517" t="s">
        <v>350</v>
      </c>
      <c r="C156" s="130" t="s">
        <v>351</v>
      </c>
      <c r="D156" s="130" t="s">
        <v>255</v>
      </c>
    </row>
    <row r="157" spans="1:4" ht="27">
      <c r="A157" s="130" t="s">
        <v>352</v>
      </c>
      <c r="B157" s="517" t="s">
        <v>353</v>
      </c>
      <c r="C157" s="130" t="s">
        <v>354</v>
      </c>
      <c r="D157" s="141" t="s">
        <v>255</v>
      </c>
    </row>
  </sheetData>
  <dataValidations count="1">
    <dataValidation allowBlank="1" showInputMessage="1" showErrorMessage="1" sqref="B1 A4:C4 D37 A38:D38 A41:C41 A48:C48 A90 C90:D90 A140:C140 B158:B1048576 D4:D8 D39:D69 D80:D89 D91:D99 A2:D3 A34:D35 A74:D79 A107:D112 E2:I131" xr:uid="{00000000-0002-0000-0000-000000000000}"/>
  </dataValidations>
  <hyperlinks>
    <hyperlink ref="B3" r:id="rId1" xr:uid="{00000000-0004-0000-0000-000000000000}"/>
    <hyperlink ref="B2" r:id="rId2" xr:uid="{00000000-0004-0000-0000-000001000000}"/>
    <hyperlink ref="B7" r:id="rId3" xr:uid="{00000000-0004-0000-0000-000002000000}"/>
    <hyperlink ref="B8" r:id="rId4" xr:uid="{00000000-0004-0000-0000-000003000000}"/>
    <hyperlink ref="B10" r:id="rId5" xr:uid="{00000000-0004-0000-0000-000004000000}"/>
    <hyperlink ref="B11" r:id="rId6" xr:uid="{00000000-0004-0000-0000-000005000000}"/>
    <hyperlink ref="B12" r:id="rId7" xr:uid="{00000000-0004-0000-0000-000006000000}"/>
    <hyperlink ref="B13" r:id="rId8" xr:uid="{00000000-0004-0000-0000-000007000000}"/>
    <hyperlink ref="B18" r:id="rId9" xr:uid="{00000000-0004-0000-0000-000008000000}"/>
    <hyperlink ref="B23" r:id="rId10" xr:uid="{00000000-0004-0000-0000-000009000000}"/>
    <hyperlink ref="B24" r:id="rId11" xr:uid="{00000000-0004-0000-0000-00000A000000}"/>
    <hyperlink ref="B5" r:id="rId12" xr:uid="{00000000-0004-0000-0000-00000B000000}"/>
    <hyperlink ref="B26" r:id="rId13" xr:uid="{00000000-0004-0000-0000-00000C000000}"/>
    <hyperlink ref="B27" r:id="rId14" xr:uid="{00000000-0004-0000-0000-00000D000000}"/>
    <hyperlink ref="B28" r:id="rId15" xr:uid="{00000000-0004-0000-0000-00000E000000}"/>
    <hyperlink ref="B30" r:id="rId16" xr:uid="{00000000-0004-0000-0000-00000F000000}"/>
    <hyperlink ref="B37" r:id="rId17" xr:uid="{00000000-0004-0000-0000-000010000000}"/>
    <hyperlink ref="B38" r:id="rId18" xr:uid="{00000000-0004-0000-0000-000011000000}"/>
    <hyperlink ref="B39" r:id="rId19" xr:uid="{00000000-0004-0000-0000-000012000000}"/>
    <hyperlink ref="B40" r:id="rId20" xr:uid="{00000000-0004-0000-0000-000013000000}"/>
    <hyperlink ref="B41" r:id="rId21" xr:uid="{00000000-0004-0000-0000-000014000000}"/>
    <hyperlink ref="B52" r:id="rId22" xr:uid="{00000000-0004-0000-0000-000015000000}"/>
    <hyperlink ref="B56" r:id="rId23" xr:uid="{00000000-0004-0000-0000-000016000000}"/>
    <hyperlink ref="B68" r:id="rId24" xr:uid="{00000000-0004-0000-0000-000017000000}"/>
    <hyperlink ref="B69" r:id="rId25" xr:uid="{00000000-0004-0000-0000-000018000000}"/>
    <hyperlink ref="B70" r:id="rId26" xr:uid="{00000000-0004-0000-0000-000019000000}"/>
    <hyperlink ref="B71" r:id="rId27" xr:uid="{00000000-0004-0000-0000-00001A000000}"/>
    <hyperlink ref="B72" r:id="rId28" xr:uid="{00000000-0004-0000-0000-00001B000000}"/>
    <hyperlink ref="B74" r:id="rId29" xr:uid="{00000000-0004-0000-0000-00001C000000}"/>
    <hyperlink ref="B80" r:id="rId30" xr:uid="{00000000-0004-0000-0000-00001D000000}"/>
    <hyperlink ref="B77" r:id="rId31" xr:uid="{00000000-0004-0000-0000-00001E000000}"/>
    <hyperlink ref="B91" r:id="rId32" xr:uid="{00000000-0004-0000-0000-00001F000000}"/>
    <hyperlink ref="B93" r:id="rId33" xr:uid="{00000000-0004-0000-0000-000020000000}"/>
    <hyperlink ref="B97" r:id="rId34" xr:uid="{00000000-0004-0000-0000-000021000000}"/>
    <hyperlink ref="B98" r:id="rId35" xr:uid="{00000000-0004-0000-0000-000022000000}"/>
    <hyperlink ref="B99" r:id="rId36" xr:uid="{00000000-0004-0000-0000-000023000000}"/>
    <hyperlink ref="B104" r:id="rId37" xr:uid="{00000000-0004-0000-0000-000024000000}"/>
    <hyperlink ref="B105" r:id="rId38" xr:uid="{00000000-0004-0000-0000-000025000000}"/>
    <hyperlink ref="B79" r:id="rId39" xr:uid="{00000000-0004-0000-0000-000026000000}"/>
    <hyperlink ref="B120" r:id="rId40" xr:uid="{00000000-0004-0000-0000-000027000000}"/>
    <hyperlink ref="C119" r:id="rId41" xr:uid="{00000000-0004-0000-0000-000028000000}"/>
    <hyperlink ref="B119" r:id="rId42" xr:uid="{00000000-0004-0000-0000-000029000000}"/>
    <hyperlink ref="B116" r:id="rId43" xr:uid="{00000000-0004-0000-0000-00002A000000}"/>
    <hyperlink ref="B115" r:id="rId44" xr:uid="{00000000-0004-0000-0000-00002B000000}"/>
    <hyperlink ref="B109" r:id="rId45" xr:uid="{00000000-0004-0000-0000-00002C000000}"/>
    <hyperlink ref="B114" r:id="rId46" xr:uid="{00000000-0004-0000-0000-00002D000000}"/>
    <hyperlink ref="B113" r:id="rId47" xr:uid="{00000000-0004-0000-0000-00002E000000}"/>
    <hyperlink ref="B122" r:id="rId48" xr:uid="{00000000-0004-0000-0000-00002F000000}"/>
    <hyperlink ref="B132" r:id="rId49" xr:uid="{00000000-0004-0000-0000-000030000000}"/>
    <hyperlink ref="B143" r:id="rId50" xr:uid="{00000000-0004-0000-0000-000031000000}"/>
    <hyperlink ref="B145" r:id="rId51" xr:uid="{00000000-0004-0000-0000-000032000000}"/>
    <hyperlink ref="B147" r:id="rId52" xr:uid="{00000000-0004-0000-0000-000033000000}"/>
    <hyperlink ref="B149" r:id="rId53" xr:uid="{00000000-0004-0000-0000-000034000000}"/>
    <hyperlink ref="B153" r:id="rId54" xr:uid="{00000000-0004-0000-0000-000035000000}"/>
    <hyperlink ref="B155" r:id="rId55" xr:uid="{00000000-0004-0000-0000-000036000000}"/>
  </hyperlinks>
  <pageMargins left="0.25" right="0.25" top="0.75" bottom="0.75" header="0.3" footer="0.3"/>
  <pageSetup paperSize="9" scale="22" orientation="landscape"/>
  <tableParts count="1">
    <tablePart r:id="rId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Y113"/>
  <sheetViews>
    <sheetView topLeftCell="B1" zoomScale="70" zoomScaleNormal="70" workbookViewId="0">
      <selection activeCell="H2" sqref="H1:BC1048576"/>
    </sheetView>
  </sheetViews>
  <sheetFormatPr defaultColWidth="9.125" defaultRowHeight="15" customHeight="1" outlineLevelCol="1"/>
  <cols>
    <col min="1" max="1" width="5.375" style="1" customWidth="1"/>
    <col min="2" max="5" width="30.625" style="1" customWidth="1" outlineLevel="1"/>
    <col min="6" max="6" width="38.625" style="1" customWidth="1" outlineLevel="1"/>
    <col min="7" max="7" width="19.625" style="1" customWidth="1" outlineLevel="1"/>
    <col min="8" max="8" width="14.375" style="1" customWidth="1" outlineLevel="1"/>
    <col min="9" max="24" width="9.125" customWidth="1"/>
    <col min="25" max="26" width="6" customWidth="1"/>
    <col min="27" max="29" width="7.125" customWidth="1"/>
    <col min="30" max="50" width="9.125" customWidth="1"/>
    <col min="51" max="55" width="9.375" customWidth="1"/>
    <col min="56" max="58" width="9.125" customWidth="1"/>
    <col min="59" max="62" width="9.125" style="2"/>
  </cols>
  <sheetData>
    <row r="1" spans="1:103" ht="25.15" customHeight="1">
      <c r="A1" s="645" t="s">
        <v>355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  <c r="U1" s="646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369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</row>
    <row r="2" spans="1:103" ht="25.15" customHeight="1">
      <c r="A2" s="370" t="s">
        <v>356</v>
      </c>
      <c r="B2" s="371" t="s">
        <v>357</v>
      </c>
      <c r="C2" s="371" t="s">
        <v>358</v>
      </c>
      <c r="D2" s="371" t="s">
        <v>359</v>
      </c>
      <c r="E2" s="371" t="s">
        <v>360</v>
      </c>
      <c r="F2" s="371" t="s">
        <v>361</v>
      </c>
      <c r="G2" s="371" t="s">
        <v>362</v>
      </c>
      <c r="H2" s="372" t="s">
        <v>363</v>
      </c>
      <c r="I2" s="226">
        <v>45844</v>
      </c>
      <c r="J2" s="224">
        <f>I2+7</f>
        <v>45851</v>
      </c>
      <c r="K2" s="226">
        <f t="shared" ref="K2:L2" si="0">J2+7</f>
        <v>45858</v>
      </c>
      <c r="L2" s="373">
        <f t="shared" si="0"/>
        <v>45865</v>
      </c>
      <c r="M2" s="373">
        <v>45872</v>
      </c>
      <c r="N2" s="373">
        <v>45886</v>
      </c>
      <c r="O2" s="374">
        <v>45893</v>
      </c>
      <c r="P2" s="224">
        <v>45900</v>
      </c>
      <c r="Q2" s="374">
        <v>45907</v>
      </c>
      <c r="R2" s="224">
        <v>45914</v>
      </c>
      <c r="S2" s="224">
        <v>45921</v>
      </c>
      <c r="T2" s="224">
        <v>45928</v>
      </c>
      <c r="U2" s="226">
        <v>45935</v>
      </c>
      <c r="V2" s="224">
        <v>45942</v>
      </c>
      <c r="W2" s="224">
        <v>45949</v>
      </c>
      <c r="X2" s="224">
        <v>45956</v>
      </c>
      <c r="Y2" s="224">
        <v>45963</v>
      </c>
      <c r="Z2" s="224">
        <v>45970</v>
      </c>
      <c r="AA2" s="224">
        <v>45977</v>
      </c>
      <c r="AB2" s="224">
        <v>45984</v>
      </c>
      <c r="AC2" s="224">
        <v>45991</v>
      </c>
      <c r="AD2" s="375" t="s">
        <v>364</v>
      </c>
      <c r="AE2" s="224">
        <v>46005</v>
      </c>
      <c r="AF2" s="224">
        <v>46012</v>
      </c>
      <c r="AG2" s="224">
        <v>46019</v>
      </c>
      <c r="AH2" s="224">
        <v>46033</v>
      </c>
      <c r="AI2" s="224">
        <v>46040</v>
      </c>
      <c r="AJ2" s="224">
        <v>46047</v>
      </c>
      <c r="AK2" s="224">
        <v>46054</v>
      </c>
      <c r="AL2" s="224">
        <v>46061</v>
      </c>
      <c r="AM2" s="224">
        <v>46068</v>
      </c>
      <c r="AN2" s="224">
        <v>46075</v>
      </c>
      <c r="AO2" s="226">
        <v>46082</v>
      </c>
      <c r="AP2" s="224">
        <v>46089</v>
      </c>
      <c r="AQ2" s="224">
        <v>46096</v>
      </c>
      <c r="AR2" s="224">
        <v>46103</v>
      </c>
      <c r="AS2" s="224">
        <v>46110</v>
      </c>
      <c r="AT2" s="227">
        <f>AS2+7</f>
        <v>46117</v>
      </c>
      <c r="AU2" s="227">
        <f t="shared" ref="AU2:AW2" si="1">AT2+7</f>
        <v>46124</v>
      </c>
      <c r="AV2" s="227">
        <f t="shared" si="1"/>
        <v>46131</v>
      </c>
      <c r="AW2" s="228">
        <f t="shared" si="1"/>
        <v>46138</v>
      </c>
      <c r="AX2" s="229">
        <v>46145</v>
      </c>
      <c r="AY2" s="229">
        <v>46152</v>
      </c>
      <c r="AZ2" s="229">
        <v>46159</v>
      </c>
      <c r="BA2" s="229">
        <v>46166</v>
      </c>
      <c r="BB2" s="229">
        <v>46173</v>
      </c>
      <c r="BC2" s="229">
        <v>46180</v>
      </c>
      <c r="BD2" s="229">
        <v>46187</v>
      </c>
      <c r="BE2" s="279">
        <f>BD2+7</f>
        <v>46194</v>
      </c>
      <c r="BF2" s="280">
        <f>BE2+7</f>
        <v>46201</v>
      </c>
      <c r="BG2" s="230">
        <f>BF2+7</f>
        <v>46208</v>
      </c>
      <c r="BH2" s="230">
        <f t="shared" ref="BH2:BJ2" si="2">BG2+7</f>
        <v>46215</v>
      </c>
      <c r="BI2" s="229">
        <f t="shared" si="2"/>
        <v>46222</v>
      </c>
      <c r="BJ2" s="230">
        <f t="shared" si="2"/>
        <v>46229</v>
      </c>
    </row>
    <row r="3" spans="1:103" ht="25.15" customHeight="1">
      <c r="A3" s="376">
        <v>1</v>
      </c>
      <c r="B3" s="377" t="s">
        <v>365</v>
      </c>
      <c r="C3" s="377" t="s">
        <v>366</v>
      </c>
      <c r="D3" s="377" t="s">
        <v>367</v>
      </c>
      <c r="E3" s="377" t="s">
        <v>8</v>
      </c>
      <c r="F3" s="378" t="s">
        <v>9</v>
      </c>
      <c r="G3" s="540" t="s">
        <v>10</v>
      </c>
      <c r="H3" s="379" t="s">
        <v>11</v>
      </c>
      <c r="I3" s="356" t="s">
        <v>368</v>
      </c>
      <c r="J3" s="356" t="s">
        <v>368</v>
      </c>
      <c r="K3" s="356"/>
      <c r="L3" s="356" t="s">
        <v>368</v>
      </c>
      <c r="M3" s="380"/>
      <c r="N3" s="356" t="s">
        <v>368</v>
      </c>
      <c r="O3" s="380" t="s">
        <v>368</v>
      </c>
      <c r="P3" s="380" t="s">
        <v>368</v>
      </c>
      <c r="Q3" s="380" t="s">
        <v>368</v>
      </c>
      <c r="R3" s="381"/>
      <c r="S3" s="380"/>
      <c r="T3" s="380"/>
      <c r="U3" s="356"/>
      <c r="V3" s="382" t="s">
        <v>368</v>
      </c>
      <c r="W3" s="380" t="s">
        <v>368</v>
      </c>
      <c r="X3" s="380"/>
      <c r="Y3" s="380" t="s">
        <v>368</v>
      </c>
      <c r="Z3" s="380" t="s">
        <v>368</v>
      </c>
      <c r="AA3" s="381"/>
      <c r="AB3" s="356" t="s">
        <v>368</v>
      </c>
      <c r="AC3" s="356" t="s">
        <v>368</v>
      </c>
      <c r="AD3" s="380"/>
      <c r="AE3" s="380"/>
      <c r="AF3" s="380" t="s">
        <v>368</v>
      </c>
      <c r="AG3" s="380"/>
      <c r="AH3" s="380" t="s">
        <v>368</v>
      </c>
      <c r="AI3" s="380"/>
      <c r="AJ3" s="381" t="s">
        <v>368</v>
      </c>
      <c r="AK3" s="380" t="s">
        <v>368</v>
      </c>
      <c r="AL3" s="380"/>
      <c r="AM3" s="380" t="s">
        <v>368</v>
      </c>
      <c r="AN3" s="380" t="s">
        <v>369</v>
      </c>
      <c r="AO3" s="356"/>
      <c r="AP3" s="380" t="s">
        <v>368</v>
      </c>
      <c r="AQ3" s="380" t="s">
        <v>368</v>
      </c>
      <c r="AR3" s="380" t="s">
        <v>368</v>
      </c>
      <c r="AS3" s="380"/>
      <c r="AT3" s="376" t="s">
        <v>370</v>
      </c>
      <c r="AU3" s="376" t="s">
        <v>370</v>
      </c>
      <c r="AV3" s="376" t="s">
        <v>370</v>
      </c>
      <c r="AW3" s="383" t="s">
        <v>370</v>
      </c>
      <c r="AX3" s="173" t="s">
        <v>370</v>
      </c>
      <c r="AY3" s="384"/>
      <c r="AZ3" s="173" t="s">
        <v>370</v>
      </c>
      <c r="BA3" s="173"/>
      <c r="BB3" s="173"/>
      <c r="BC3" s="173"/>
      <c r="BD3" s="173" t="s">
        <v>370</v>
      </c>
      <c r="BE3" s="1" t="s">
        <v>370</v>
      </c>
      <c r="BF3" s="89" t="s">
        <v>370</v>
      </c>
      <c r="BG3" s="233"/>
      <c r="BH3" s="233"/>
      <c r="BI3" s="385"/>
      <c r="BJ3" s="233"/>
    </row>
    <row r="4" spans="1:103" ht="25.15" customHeight="1">
      <c r="A4" s="376">
        <f t="shared" ref="A4:A45" si="3">A3+1</f>
        <v>2</v>
      </c>
      <c r="B4" s="386" t="s">
        <v>371</v>
      </c>
      <c r="C4" s="386" t="s">
        <v>372</v>
      </c>
      <c r="D4" s="386" t="s">
        <v>373</v>
      </c>
      <c r="E4" s="386" t="s">
        <v>12</v>
      </c>
      <c r="F4" s="386" t="s">
        <v>13</v>
      </c>
      <c r="G4" s="541" t="s">
        <v>14</v>
      </c>
      <c r="H4" s="379" t="s">
        <v>11</v>
      </c>
      <c r="I4" s="356"/>
      <c r="J4" s="380"/>
      <c r="K4" s="380"/>
      <c r="L4" s="356" t="s">
        <v>368</v>
      </c>
      <c r="M4" s="380"/>
      <c r="N4" s="356" t="s">
        <v>368</v>
      </c>
      <c r="O4" s="380" t="s">
        <v>368</v>
      </c>
      <c r="P4" s="380"/>
      <c r="Q4" s="380"/>
      <c r="R4" s="380"/>
      <c r="S4" s="380" t="s">
        <v>368</v>
      </c>
      <c r="T4" s="380"/>
      <c r="U4" s="356" t="s">
        <v>368</v>
      </c>
      <c r="V4" s="382"/>
      <c r="W4" s="380"/>
      <c r="X4" s="380"/>
      <c r="Y4" s="380"/>
      <c r="Z4" s="380"/>
      <c r="AA4" s="380"/>
      <c r="AB4" s="356" t="s">
        <v>368</v>
      </c>
      <c r="AC4" s="356"/>
      <c r="AD4" s="380"/>
      <c r="AE4" s="380"/>
      <c r="AF4" s="380"/>
      <c r="AG4" s="380"/>
      <c r="AH4" s="380" t="s">
        <v>368</v>
      </c>
      <c r="AI4" s="380"/>
      <c r="AJ4" s="380"/>
      <c r="AK4" s="380"/>
      <c r="AL4" s="380"/>
      <c r="AM4" s="380"/>
      <c r="AN4" s="380"/>
      <c r="AO4" s="356"/>
      <c r="AP4" s="380"/>
      <c r="AQ4" s="380" t="s">
        <v>368</v>
      </c>
      <c r="AR4" s="380"/>
      <c r="AS4" s="380"/>
      <c r="AT4" s="376"/>
      <c r="AU4" s="376"/>
      <c r="AV4" s="376" t="s">
        <v>370</v>
      </c>
      <c r="AW4" s="383" t="s">
        <v>370</v>
      </c>
      <c r="AX4" s="173"/>
      <c r="AY4" s="173"/>
      <c r="AZ4" s="173" t="s">
        <v>370</v>
      </c>
      <c r="BA4" s="173"/>
      <c r="BB4" s="173" t="s">
        <v>370</v>
      </c>
      <c r="BC4" s="173" t="s">
        <v>370</v>
      </c>
      <c r="BD4" s="173" t="s">
        <v>370</v>
      </c>
      <c r="BE4" s="1" t="s">
        <v>370</v>
      </c>
      <c r="BF4" s="89" t="s">
        <v>370</v>
      </c>
      <c r="BG4" s="233" t="s">
        <v>370</v>
      </c>
      <c r="BH4" s="233" t="s">
        <v>370</v>
      </c>
      <c r="BI4" s="385"/>
      <c r="BJ4" s="233"/>
    </row>
    <row r="5" spans="1:103" ht="25.15" customHeight="1">
      <c r="A5" s="376">
        <f t="shared" si="3"/>
        <v>3</v>
      </c>
      <c r="B5" s="386" t="s">
        <v>374</v>
      </c>
      <c r="C5" s="386" t="s">
        <v>375</v>
      </c>
      <c r="D5" s="386" t="s">
        <v>367</v>
      </c>
      <c r="E5" s="386" t="s">
        <v>15</v>
      </c>
      <c r="F5" s="386" t="s">
        <v>16</v>
      </c>
      <c r="G5" s="386" t="s">
        <v>17</v>
      </c>
      <c r="H5" s="379" t="s">
        <v>11</v>
      </c>
      <c r="I5" s="356" t="s">
        <v>368</v>
      </c>
      <c r="J5" s="380"/>
      <c r="K5" s="380"/>
      <c r="L5" s="356"/>
      <c r="M5" s="380"/>
      <c r="N5" s="356" t="s">
        <v>368</v>
      </c>
      <c r="O5" s="380"/>
      <c r="P5" s="380" t="s">
        <v>368</v>
      </c>
      <c r="Q5" s="380" t="s">
        <v>368</v>
      </c>
      <c r="R5" s="380"/>
      <c r="S5" s="380"/>
      <c r="T5" s="380" t="s">
        <v>368</v>
      </c>
      <c r="U5" s="356" t="s">
        <v>368</v>
      </c>
      <c r="V5" s="382"/>
      <c r="W5" s="380" t="s">
        <v>368</v>
      </c>
      <c r="X5" s="380"/>
      <c r="Y5" s="380" t="s">
        <v>368</v>
      </c>
      <c r="Z5" s="380" t="s">
        <v>368</v>
      </c>
      <c r="AA5" s="380"/>
      <c r="AB5" s="356" t="s">
        <v>368</v>
      </c>
      <c r="AC5" s="356"/>
      <c r="AD5" s="380" t="s">
        <v>368</v>
      </c>
      <c r="AE5" s="380" t="s">
        <v>368</v>
      </c>
      <c r="AF5" s="380" t="s">
        <v>368</v>
      </c>
      <c r="AG5" s="380"/>
      <c r="AH5" s="380" t="s">
        <v>368</v>
      </c>
      <c r="AI5" s="380" t="s">
        <v>368</v>
      </c>
      <c r="AJ5" s="380" t="s">
        <v>368</v>
      </c>
      <c r="AK5" s="380" t="s">
        <v>368</v>
      </c>
      <c r="AL5" s="380"/>
      <c r="AM5" s="380" t="s">
        <v>368</v>
      </c>
      <c r="AN5" s="380" t="s">
        <v>369</v>
      </c>
      <c r="AO5" s="356" t="s">
        <v>368</v>
      </c>
      <c r="AP5" s="380" t="s">
        <v>368</v>
      </c>
      <c r="AQ5" s="380" t="s">
        <v>368</v>
      </c>
      <c r="AR5" s="380"/>
      <c r="AS5" s="380"/>
      <c r="AT5" s="376" t="s">
        <v>370</v>
      </c>
      <c r="AU5" s="376" t="s">
        <v>370</v>
      </c>
      <c r="AV5" s="376" t="s">
        <v>370</v>
      </c>
      <c r="AW5" s="383" t="s">
        <v>370</v>
      </c>
      <c r="AX5" s="173" t="s">
        <v>370</v>
      </c>
      <c r="AY5" s="173"/>
      <c r="AZ5" s="173"/>
      <c r="BA5" s="173"/>
      <c r="BB5" s="173"/>
      <c r="BC5" s="173"/>
      <c r="BD5" s="173"/>
      <c r="BE5" s="1"/>
      <c r="BF5" s="89"/>
      <c r="BG5" s="233"/>
      <c r="BH5" s="233"/>
      <c r="BI5" s="385"/>
      <c r="BJ5" s="233"/>
    </row>
    <row r="6" spans="1:103" ht="25.15" customHeight="1">
      <c r="A6" s="376">
        <f t="shared" si="3"/>
        <v>4</v>
      </c>
      <c r="B6" s="387" t="s">
        <v>376</v>
      </c>
      <c r="C6" s="387" t="s">
        <v>377</v>
      </c>
      <c r="D6" s="387" t="s">
        <v>378</v>
      </c>
      <c r="E6" s="387" t="s">
        <v>18</v>
      </c>
      <c r="F6" s="388" t="s">
        <v>19</v>
      </c>
      <c r="G6" s="377"/>
      <c r="H6" s="379" t="s">
        <v>11</v>
      </c>
      <c r="I6" s="356" t="s">
        <v>368</v>
      </c>
      <c r="J6" s="380"/>
      <c r="K6" s="380"/>
      <c r="L6" s="356"/>
      <c r="M6" s="380"/>
      <c r="N6" s="356" t="s">
        <v>368</v>
      </c>
      <c r="O6" s="380"/>
      <c r="P6" s="380"/>
      <c r="Q6" s="380"/>
      <c r="R6" s="380"/>
      <c r="S6" s="380"/>
      <c r="T6" s="380"/>
      <c r="U6" s="356"/>
      <c r="V6" s="382" t="s">
        <v>368</v>
      </c>
      <c r="W6" s="380"/>
      <c r="X6" s="380"/>
      <c r="Y6" s="380"/>
      <c r="Z6" s="380"/>
      <c r="AA6" s="380"/>
      <c r="AB6" s="356" t="s">
        <v>368</v>
      </c>
      <c r="AC6" s="356"/>
      <c r="AD6" s="380"/>
      <c r="AE6" s="380"/>
      <c r="AF6" s="380"/>
      <c r="AG6" s="380"/>
      <c r="AH6" s="380" t="s">
        <v>368</v>
      </c>
      <c r="AI6" s="380"/>
      <c r="AJ6" s="380" t="s">
        <v>368</v>
      </c>
      <c r="AK6" s="380"/>
      <c r="AL6" s="380" t="s">
        <v>368</v>
      </c>
      <c r="AM6" s="380" t="s">
        <v>368</v>
      </c>
      <c r="AN6" s="380"/>
      <c r="AO6" s="356"/>
      <c r="AP6" s="380"/>
      <c r="AQ6" s="380"/>
      <c r="AR6" s="380"/>
      <c r="AS6" s="380"/>
      <c r="AT6" s="376"/>
      <c r="AU6" s="376"/>
      <c r="AV6" s="376" t="s">
        <v>370</v>
      </c>
      <c r="AW6" s="383"/>
      <c r="AX6" s="173" t="s">
        <v>370</v>
      </c>
      <c r="AY6" s="173"/>
      <c r="AZ6" s="173" t="s">
        <v>370</v>
      </c>
      <c r="BA6" s="173"/>
      <c r="BB6" s="173"/>
      <c r="BC6" s="173"/>
      <c r="BD6" s="173"/>
      <c r="BE6" s="1" t="s">
        <v>370</v>
      </c>
      <c r="BF6" s="89"/>
      <c r="BG6" s="233"/>
      <c r="BH6" s="233"/>
      <c r="BI6" s="385"/>
      <c r="BJ6" s="233"/>
    </row>
    <row r="7" spans="1:103" ht="25.15" customHeight="1">
      <c r="A7" s="376">
        <f t="shared" si="3"/>
        <v>5</v>
      </c>
      <c r="B7" s="386" t="s">
        <v>379</v>
      </c>
      <c r="C7" s="386" t="s">
        <v>380</v>
      </c>
      <c r="D7" s="386" t="s">
        <v>367</v>
      </c>
      <c r="E7" s="386" t="s">
        <v>20</v>
      </c>
      <c r="F7" s="386" t="s">
        <v>21</v>
      </c>
      <c r="G7" s="386" t="s">
        <v>22</v>
      </c>
      <c r="H7" s="379" t="s">
        <v>11</v>
      </c>
      <c r="I7" s="356" t="s">
        <v>368</v>
      </c>
      <c r="J7" s="380"/>
      <c r="K7" s="380"/>
      <c r="L7" s="356"/>
      <c r="M7" s="389"/>
      <c r="N7" s="356" t="s">
        <v>368</v>
      </c>
      <c r="O7" s="380"/>
      <c r="P7" s="380"/>
      <c r="Q7" s="380"/>
      <c r="R7" s="380"/>
      <c r="S7" s="380" t="s">
        <v>368</v>
      </c>
      <c r="T7" s="380" t="s">
        <v>368</v>
      </c>
      <c r="U7" s="356"/>
      <c r="V7" s="382" t="s">
        <v>368</v>
      </c>
      <c r="W7" s="380" t="s">
        <v>368</v>
      </c>
      <c r="X7" s="380"/>
      <c r="Y7" s="380" t="s">
        <v>368</v>
      </c>
      <c r="Z7" s="380"/>
      <c r="AA7" s="380"/>
      <c r="AB7" s="356" t="s">
        <v>368</v>
      </c>
      <c r="AC7" s="356"/>
      <c r="AD7" s="380" t="s">
        <v>368</v>
      </c>
      <c r="AE7" s="380"/>
      <c r="AF7" s="380" t="s">
        <v>368</v>
      </c>
      <c r="AG7" s="380"/>
      <c r="AH7" s="380"/>
      <c r="AI7" s="380" t="s">
        <v>368</v>
      </c>
      <c r="AJ7" s="380"/>
      <c r="AK7" s="380"/>
      <c r="AL7" s="380"/>
      <c r="AM7" s="380"/>
      <c r="AN7" s="380"/>
      <c r="AO7" s="356" t="s">
        <v>368</v>
      </c>
      <c r="AP7" s="380" t="s">
        <v>368</v>
      </c>
      <c r="AQ7" s="380" t="s">
        <v>368</v>
      </c>
      <c r="AR7" s="380"/>
      <c r="AS7" s="380"/>
      <c r="AT7" s="376"/>
      <c r="AU7" s="376"/>
      <c r="AV7" s="376" t="s">
        <v>370</v>
      </c>
      <c r="AW7" s="383" t="s">
        <v>370</v>
      </c>
      <c r="AX7" s="173"/>
      <c r="AY7" s="173"/>
      <c r="AZ7" s="173"/>
      <c r="BA7" s="173" t="s">
        <v>370</v>
      </c>
      <c r="BB7" s="173"/>
      <c r="BC7" s="173"/>
      <c r="BD7" s="173"/>
      <c r="BE7" s="1"/>
      <c r="BF7" s="89"/>
      <c r="BG7" s="233"/>
      <c r="BH7" s="233"/>
      <c r="BI7" s="385"/>
      <c r="BJ7" s="233"/>
    </row>
    <row r="8" spans="1:103" ht="25.15" customHeight="1">
      <c r="A8" s="376">
        <f t="shared" si="3"/>
        <v>6</v>
      </c>
      <c r="B8" s="387" t="s">
        <v>381</v>
      </c>
      <c r="C8" s="387" t="s">
        <v>382</v>
      </c>
      <c r="D8" s="387" t="s">
        <v>367</v>
      </c>
      <c r="E8" s="387" t="s">
        <v>23</v>
      </c>
      <c r="F8" s="390" t="s">
        <v>24</v>
      </c>
      <c r="G8" s="387" t="s">
        <v>25</v>
      </c>
      <c r="H8" s="391" t="s">
        <v>11</v>
      </c>
      <c r="I8" s="392"/>
      <c r="J8" s="389"/>
      <c r="K8" s="392"/>
      <c r="L8" s="389" t="s">
        <v>368</v>
      </c>
      <c r="M8" s="389"/>
      <c r="N8" s="392" t="s">
        <v>368</v>
      </c>
      <c r="O8" s="389"/>
      <c r="P8" s="380" t="s">
        <v>368</v>
      </c>
      <c r="Q8" s="380" t="s">
        <v>368</v>
      </c>
      <c r="R8" s="380"/>
      <c r="S8" s="380"/>
      <c r="T8" s="380"/>
      <c r="U8" s="356" t="s">
        <v>368</v>
      </c>
      <c r="V8" s="382" t="s">
        <v>368</v>
      </c>
      <c r="W8" s="380" t="s">
        <v>368</v>
      </c>
      <c r="X8" s="380"/>
      <c r="Y8" s="380" t="s">
        <v>368</v>
      </c>
      <c r="Z8" s="380"/>
      <c r="AA8" s="380"/>
      <c r="AB8" s="356" t="s">
        <v>368</v>
      </c>
      <c r="AC8" s="356"/>
      <c r="AD8" s="380"/>
      <c r="AE8" s="380"/>
      <c r="AF8" s="380"/>
      <c r="AG8" s="380"/>
      <c r="AH8" s="380"/>
      <c r="AI8" s="380"/>
      <c r="AJ8" s="380"/>
      <c r="AK8" s="380"/>
      <c r="AL8" s="380"/>
      <c r="AM8" s="380" t="s">
        <v>368</v>
      </c>
      <c r="AN8" s="380" t="s">
        <v>369</v>
      </c>
      <c r="AO8" s="356" t="s">
        <v>368</v>
      </c>
      <c r="AP8" s="380"/>
      <c r="AQ8" s="380" t="s">
        <v>368</v>
      </c>
      <c r="AR8" s="380"/>
      <c r="AS8" s="380"/>
      <c r="AT8" s="376"/>
      <c r="AU8" s="376"/>
      <c r="AV8" s="376"/>
      <c r="AW8" s="383"/>
      <c r="AX8" s="173"/>
      <c r="AY8" s="173"/>
      <c r="AZ8" s="173"/>
      <c r="BA8" s="173"/>
      <c r="BB8" s="173" t="s">
        <v>370</v>
      </c>
      <c r="BC8" s="173"/>
      <c r="BD8" s="173"/>
      <c r="BE8" s="1"/>
      <c r="BF8" s="89" t="s">
        <v>370</v>
      </c>
      <c r="BG8" s="233" t="s">
        <v>370</v>
      </c>
      <c r="BH8" s="233"/>
      <c r="BI8" s="385" t="s">
        <v>370</v>
      </c>
      <c r="BJ8" s="233"/>
    </row>
    <row r="9" spans="1:103" ht="25.15" customHeight="1">
      <c r="A9" s="376">
        <f t="shared" si="3"/>
        <v>7</v>
      </c>
      <c r="B9" s="387" t="s">
        <v>383</v>
      </c>
      <c r="C9" s="387" t="s">
        <v>384</v>
      </c>
      <c r="D9" s="387" t="s">
        <v>367</v>
      </c>
      <c r="E9" s="387" t="s">
        <v>26</v>
      </c>
      <c r="F9" s="388" t="s">
        <v>27</v>
      </c>
      <c r="G9" s="542" t="s">
        <v>28</v>
      </c>
      <c r="H9" s="393" t="s">
        <v>11</v>
      </c>
      <c r="I9" s="394"/>
      <c r="J9" s="394"/>
      <c r="K9" s="394"/>
      <c r="L9" s="394"/>
      <c r="M9" s="394"/>
      <c r="N9" s="395" t="s">
        <v>368</v>
      </c>
      <c r="O9" s="389" t="s">
        <v>368</v>
      </c>
      <c r="P9" s="380"/>
      <c r="Q9" s="380"/>
      <c r="R9" s="380"/>
      <c r="S9" s="380" t="s">
        <v>368</v>
      </c>
      <c r="T9" s="380" t="s">
        <v>368</v>
      </c>
      <c r="U9" s="356" t="s">
        <v>368</v>
      </c>
      <c r="V9" s="382" t="s">
        <v>368</v>
      </c>
      <c r="W9" s="380"/>
      <c r="X9" s="380"/>
      <c r="Y9" s="380"/>
      <c r="Z9" s="380" t="s">
        <v>368</v>
      </c>
      <c r="AA9" s="380"/>
      <c r="AB9" s="356" t="s">
        <v>368</v>
      </c>
      <c r="AC9" s="356" t="s">
        <v>368</v>
      </c>
      <c r="AD9" s="380"/>
      <c r="AE9" s="381"/>
      <c r="AF9" s="380"/>
      <c r="AG9" s="380"/>
      <c r="AH9" s="380"/>
      <c r="AI9" s="380" t="s">
        <v>368</v>
      </c>
      <c r="AJ9" s="380" t="s">
        <v>368</v>
      </c>
      <c r="AK9" s="380" t="s">
        <v>368</v>
      </c>
      <c r="AL9" s="380" t="s">
        <v>368</v>
      </c>
      <c r="AM9" s="380"/>
      <c r="AN9" s="380" t="s">
        <v>369</v>
      </c>
      <c r="AO9" s="356" t="s">
        <v>368</v>
      </c>
      <c r="AP9" s="380"/>
      <c r="AQ9" s="380"/>
      <c r="AR9" s="380" t="s">
        <v>368</v>
      </c>
      <c r="AS9" s="380"/>
      <c r="AT9" s="376" t="s">
        <v>370</v>
      </c>
      <c r="AU9" s="376" t="s">
        <v>370</v>
      </c>
      <c r="AV9" s="376" t="s">
        <v>370</v>
      </c>
      <c r="AW9" s="383" t="s">
        <v>370</v>
      </c>
      <c r="AX9" s="173" t="s">
        <v>370</v>
      </c>
      <c r="AY9" s="173"/>
      <c r="AZ9" s="173" t="s">
        <v>370</v>
      </c>
      <c r="BA9" s="173"/>
      <c r="BB9" s="173" t="s">
        <v>370</v>
      </c>
      <c r="BC9" s="173" t="s">
        <v>370</v>
      </c>
      <c r="BD9" s="173" t="s">
        <v>370</v>
      </c>
      <c r="BE9" s="1" t="s">
        <v>370</v>
      </c>
      <c r="BF9" s="89"/>
      <c r="BG9" s="233"/>
      <c r="BH9" s="233"/>
      <c r="BI9" s="385"/>
      <c r="BJ9" s="233"/>
    </row>
    <row r="10" spans="1:103" s="368" customFormat="1" ht="25.15" customHeight="1">
      <c r="A10" s="376">
        <f t="shared" si="3"/>
        <v>8</v>
      </c>
      <c r="B10" s="377" t="s">
        <v>385</v>
      </c>
      <c r="C10" s="377" t="s">
        <v>386</v>
      </c>
      <c r="D10" s="377" t="s">
        <v>378</v>
      </c>
      <c r="E10" s="377" t="s">
        <v>29</v>
      </c>
      <c r="F10" s="377" t="s">
        <v>30</v>
      </c>
      <c r="G10" s="377" t="s">
        <v>31</v>
      </c>
      <c r="H10" s="396" t="s">
        <v>11</v>
      </c>
      <c r="I10" s="394"/>
      <c r="J10" s="394"/>
      <c r="K10" s="394"/>
      <c r="L10" s="394"/>
      <c r="M10" s="394"/>
      <c r="N10" s="382"/>
      <c r="O10" s="380" t="s">
        <v>368</v>
      </c>
      <c r="P10" s="380" t="s">
        <v>368</v>
      </c>
      <c r="Q10" s="380"/>
      <c r="R10" s="397"/>
      <c r="S10" s="397" t="s">
        <v>368</v>
      </c>
      <c r="T10" s="397" t="s">
        <v>368</v>
      </c>
      <c r="U10" s="356" t="s">
        <v>368</v>
      </c>
      <c r="V10" s="398"/>
      <c r="W10" s="397" t="s">
        <v>368</v>
      </c>
      <c r="X10" s="397"/>
      <c r="Y10" s="397"/>
      <c r="Z10" s="397" t="s">
        <v>368</v>
      </c>
      <c r="AA10" s="397"/>
      <c r="AB10" s="394"/>
      <c r="AC10" s="356"/>
      <c r="AD10" s="380" t="s">
        <v>368</v>
      </c>
      <c r="AE10" s="397"/>
      <c r="AF10" s="397"/>
      <c r="AG10" s="397"/>
      <c r="AH10" s="397"/>
      <c r="AI10" s="397" t="s">
        <v>368</v>
      </c>
      <c r="AJ10" s="397" t="s">
        <v>368</v>
      </c>
      <c r="AK10" s="397" t="s">
        <v>368</v>
      </c>
      <c r="AL10" s="397"/>
      <c r="AM10" s="397"/>
      <c r="AN10" s="397"/>
      <c r="AO10" s="394"/>
      <c r="AP10" s="397" t="s">
        <v>368</v>
      </c>
      <c r="AQ10" s="397" t="s">
        <v>368</v>
      </c>
      <c r="AR10" s="397"/>
      <c r="AS10" s="397"/>
      <c r="AT10" s="399" t="s">
        <v>370</v>
      </c>
      <c r="AU10" s="399"/>
      <c r="AV10" s="399" t="s">
        <v>370</v>
      </c>
      <c r="AW10" s="383" t="s">
        <v>370</v>
      </c>
      <c r="AX10" s="173" t="s">
        <v>370</v>
      </c>
      <c r="AY10" s="173"/>
      <c r="AZ10" s="173"/>
      <c r="BA10" s="173"/>
      <c r="BB10" s="173" t="s">
        <v>370</v>
      </c>
      <c r="BC10" s="173"/>
      <c r="BD10" s="173"/>
      <c r="BE10" s="1"/>
      <c r="BF10" s="89"/>
      <c r="BG10" s="233"/>
      <c r="BH10" s="233"/>
      <c r="BI10" s="385"/>
      <c r="BJ10" s="233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</row>
    <row r="11" spans="1:103" s="368" customFormat="1" ht="25.15" customHeight="1">
      <c r="A11" s="376">
        <f t="shared" si="3"/>
        <v>9</v>
      </c>
      <c r="B11" s="377" t="s">
        <v>387</v>
      </c>
      <c r="C11" s="377" t="s">
        <v>388</v>
      </c>
      <c r="D11" s="377" t="s">
        <v>378</v>
      </c>
      <c r="E11" s="377" t="s">
        <v>32</v>
      </c>
      <c r="F11" s="378" t="s">
        <v>33</v>
      </c>
      <c r="G11" s="400">
        <v>766013733</v>
      </c>
      <c r="H11" s="401" t="s">
        <v>11</v>
      </c>
      <c r="I11" s="394"/>
      <c r="J11" s="394"/>
      <c r="K11" s="394"/>
      <c r="L11" s="394"/>
      <c r="M11" s="394"/>
      <c r="N11" s="382"/>
      <c r="O11" s="380" t="s">
        <v>368</v>
      </c>
      <c r="P11" s="380" t="s">
        <v>368</v>
      </c>
      <c r="Q11" s="380" t="s">
        <v>368</v>
      </c>
      <c r="R11" s="397"/>
      <c r="S11" s="397"/>
      <c r="T11" s="397"/>
      <c r="U11" s="394" t="s">
        <v>368</v>
      </c>
      <c r="V11" s="398"/>
      <c r="W11" s="397"/>
      <c r="X11" s="397"/>
      <c r="Y11" s="397"/>
      <c r="Z11" s="397" t="s">
        <v>368</v>
      </c>
      <c r="AA11" s="397"/>
      <c r="AB11" s="394"/>
      <c r="AC11" s="356"/>
      <c r="AD11" s="380"/>
      <c r="AE11" s="397"/>
      <c r="AF11" s="397"/>
      <c r="AG11" s="397"/>
      <c r="AH11" s="397"/>
      <c r="AI11" s="397" t="s">
        <v>368</v>
      </c>
      <c r="AJ11" s="397"/>
      <c r="AK11" s="397"/>
      <c r="AL11" s="397"/>
      <c r="AM11" s="397"/>
      <c r="AN11" s="397"/>
      <c r="AO11" s="394" t="s">
        <v>368</v>
      </c>
      <c r="AP11" s="397"/>
      <c r="AQ11" s="397"/>
      <c r="AR11" s="397"/>
      <c r="AS11" s="397"/>
      <c r="AT11" s="399"/>
      <c r="AU11" s="399"/>
      <c r="AV11" s="399" t="s">
        <v>370</v>
      </c>
      <c r="AW11" s="383"/>
      <c r="AX11" s="173"/>
      <c r="AY11" s="173"/>
      <c r="AZ11" s="173" t="s">
        <v>370</v>
      </c>
      <c r="BA11" s="173" t="s">
        <v>370</v>
      </c>
      <c r="BB11" s="173"/>
      <c r="BC11" s="173"/>
      <c r="BD11" s="173" t="s">
        <v>370</v>
      </c>
      <c r="BE11" s="1"/>
      <c r="BF11" s="89"/>
      <c r="BG11" s="233"/>
      <c r="BH11" s="233" t="s">
        <v>370</v>
      </c>
      <c r="BI11" s="385"/>
      <c r="BJ11" s="233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</row>
    <row r="12" spans="1:103" s="368" customFormat="1" ht="25.15" customHeight="1">
      <c r="A12" s="376">
        <f t="shared" si="3"/>
        <v>10</v>
      </c>
      <c r="B12" s="377" t="s">
        <v>389</v>
      </c>
      <c r="C12" s="377" t="s">
        <v>390</v>
      </c>
      <c r="D12" s="377" t="s">
        <v>378</v>
      </c>
      <c r="E12" s="377" t="s">
        <v>34</v>
      </c>
      <c r="F12" s="378" t="s">
        <v>35</v>
      </c>
      <c r="G12" s="400">
        <v>355687312</v>
      </c>
      <c r="H12" s="401" t="s">
        <v>11</v>
      </c>
      <c r="I12" s="394"/>
      <c r="J12" s="394"/>
      <c r="K12" s="394"/>
      <c r="L12" s="394"/>
      <c r="M12" s="394"/>
      <c r="N12" s="382"/>
      <c r="O12" s="380" t="s">
        <v>368</v>
      </c>
      <c r="P12" s="380"/>
      <c r="Q12" s="380" t="s">
        <v>368</v>
      </c>
      <c r="R12" s="397"/>
      <c r="S12" s="397"/>
      <c r="T12" s="397" t="s">
        <v>368</v>
      </c>
      <c r="U12" s="394"/>
      <c r="V12" s="398" t="s">
        <v>368</v>
      </c>
      <c r="W12" s="397" t="s">
        <v>368</v>
      </c>
      <c r="X12" s="397"/>
      <c r="Y12" s="397" t="s">
        <v>368</v>
      </c>
      <c r="Z12" s="397"/>
      <c r="AA12" s="397"/>
      <c r="AB12" s="394" t="s">
        <v>368</v>
      </c>
      <c r="AC12" s="356"/>
      <c r="AD12" s="380" t="s">
        <v>368</v>
      </c>
      <c r="AE12" s="397"/>
      <c r="AF12" s="397"/>
      <c r="AG12" s="397"/>
      <c r="AH12" s="397"/>
      <c r="AI12" s="397"/>
      <c r="AJ12" s="397"/>
      <c r="AK12" s="397" t="s">
        <v>368</v>
      </c>
      <c r="AL12" s="397"/>
      <c r="AM12" s="397"/>
      <c r="AN12" s="397"/>
      <c r="AO12" s="394"/>
      <c r="AP12" s="397" t="s">
        <v>368</v>
      </c>
      <c r="AQ12" s="397"/>
      <c r="AR12" s="397"/>
      <c r="AS12" s="397"/>
      <c r="AT12" s="399"/>
      <c r="AU12" s="399"/>
      <c r="AV12" s="399"/>
      <c r="AW12" s="383" t="s">
        <v>370</v>
      </c>
      <c r="AX12" s="173"/>
      <c r="AY12" s="173"/>
      <c r="AZ12" s="173"/>
      <c r="BA12" s="173"/>
      <c r="BB12" s="173"/>
      <c r="BC12" s="173"/>
      <c r="BD12" s="173" t="s">
        <v>370</v>
      </c>
      <c r="BE12" s="1"/>
      <c r="BF12" s="89" t="s">
        <v>370</v>
      </c>
      <c r="BG12" s="233" t="s">
        <v>370</v>
      </c>
      <c r="BH12" s="233"/>
      <c r="BI12" s="385" t="s">
        <v>370</v>
      </c>
      <c r="BJ12" s="233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</row>
    <row r="13" spans="1:103" s="368" customFormat="1" ht="25.15" customHeight="1">
      <c r="A13" s="376">
        <f t="shared" si="3"/>
        <v>11</v>
      </c>
      <c r="B13" s="377" t="s">
        <v>391</v>
      </c>
      <c r="C13" s="377" t="s">
        <v>392</v>
      </c>
      <c r="D13" s="377" t="s">
        <v>378</v>
      </c>
      <c r="E13" s="377" t="s">
        <v>36</v>
      </c>
      <c r="F13" s="378" t="s">
        <v>37</v>
      </c>
      <c r="G13" s="400">
        <v>46709771103</v>
      </c>
      <c r="H13" s="401" t="s">
        <v>11</v>
      </c>
      <c r="I13" s="394"/>
      <c r="J13" s="394"/>
      <c r="K13" s="394"/>
      <c r="L13" s="394"/>
      <c r="M13" s="394"/>
      <c r="N13" s="382"/>
      <c r="O13" s="380" t="s">
        <v>368</v>
      </c>
      <c r="P13" s="380"/>
      <c r="Q13" s="380"/>
      <c r="R13" s="397"/>
      <c r="S13" s="397"/>
      <c r="T13" s="397"/>
      <c r="U13" s="394"/>
      <c r="V13" s="398"/>
      <c r="W13" s="397"/>
      <c r="X13" s="397"/>
      <c r="Y13" s="397"/>
      <c r="Z13" s="397"/>
      <c r="AA13" s="397"/>
      <c r="AB13" s="394"/>
      <c r="AC13" s="356"/>
      <c r="AD13" s="380"/>
      <c r="AE13" s="397"/>
      <c r="AF13" s="397"/>
      <c r="AG13" s="397"/>
      <c r="AH13" s="397"/>
      <c r="AI13" s="397"/>
      <c r="AJ13" s="397"/>
      <c r="AK13" s="397"/>
      <c r="AL13" s="397"/>
      <c r="AM13" s="397"/>
      <c r="AN13" s="397"/>
      <c r="AO13" s="394"/>
      <c r="AP13" s="397"/>
      <c r="AQ13" s="397"/>
      <c r="AR13" s="397"/>
      <c r="AS13" s="397"/>
      <c r="AT13" s="399"/>
      <c r="AU13" s="399"/>
      <c r="AV13" s="399"/>
      <c r="AW13" s="383"/>
      <c r="AX13" s="173"/>
      <c r="AY13" s="173"/>
      <c r="AZ13" s="173"/>
      <c r="BA13" s="173"/>
      <c r="BB13" s="173"/>
      <c r="BC13" s="173"/>
      <c r="BD13" s="173"/>
      <c r="BE13" s="1"/>
      <c r="BF13" s="89"/>
      <c r="BG13" s="233"/>
      <c r="BH13" s="233"/>
      <c r="BI13" s="385"/>
      <c r="BJ13" s="23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</row>
    <row r="14" spans="1:103" s="368" customFormat="1" ht="25.15" customHeight="1">
      <c r="A14" s="376">
        <f t="shared" si="3"/>
        <v>12</v>
      </c>
      <c r="B14" s="377" t="s">
        <v>393</v>
      </c>
      <c r="C14" s="377" t="s">
        <v>394</v>
      </c>
      <c r="D14" s="377" t="s">
        <v>367</v>
      </c>
      <c r="E14" s="377" t="s">
        <v>38</v>
      </c>
      <c r="F14" s="378" t="s">
        <v>39</v>
      </c>
      <c r="G14" s="400">
        <v>374327959</v>
      </c>
      <c r="H14" s="401" t="s">
        <v>11</v>
      </c>
      <c r="I14" s="402"/>
      <c r="J14" s="402"/>
      <c r="K14" s="402"/>
      <c r="L14" s="402"/>
      <c r="M14" s="402"/>
      <c r="N14" s="403"/>
      <c r="O14" s="389" t="s">
        <v>368</v>
      </c>
      <c r="P14" s="389"/>
      <c r="Q14" s="380"/>
      <c r="R14" s="397"/>
      <c r="S14" s="397"/>
      <c r="T14" s="397"/>
      <c r="U14" s="394"/>
      <c r="V14" s="398"/>
      <c r="W14" s="397"/>
      <c r="X14" s="397"/>
      <c r="Y14" s="397"/>
      <c r="Z14" s="397"/>
      <c r="AA14" s="397"/>
      <c r="AB14" s="394"/>
      <c r="AC14" s="356"/>
      <c r="AD14" s="380"/>
      <c r="AE14" s="397"/>
      <c r="AF14" s="397"/>
      <c r="AG14" s="397"/>
      <c r="AH14" s="397"/>
      <c r="AI14" s="397"/>
      <c r="AJ14" s="397"/>
      <c r="AK14" s="397"/>
      <c r="AL14" s="397"/>
      <c r="AM14" s="397"/>
      <c r="AN14" s="397"/>
      <c r="AO14" s="394"/>
      <c r="AP14" s="397"/>
      <c r="AQ14" s="397"/>
      <c r="AR14" s="397"/>
      <c r="AS14" s="397"/>
      <c r="AT14" s="399"/>
      <c r="AU14" s="399"/>
      <c r="AV14" s="399"/>
      <c r="AW14" s="383"/>
      <c r="AX14" s="173"/>
      <c r="AY14" s="173"/>
      <c r="AZ14" s="173"/>
      <c r="BA14" s="173"/>
      <c r="BB14" s="173"/>
      <c r="BC14" s="173"/>
      <c r="BD14" s="173"/>
      <c r="BE14" s="1"/>
      <c r="BF14" s="89"/>
      <c r="BG14" s="233"/>
      <c r="BH14" s="233"/>
      <c r="BI14" s="385"/>
      <c r="BJ14" s="233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</row>
    <row r="15" spans="1:103" ht="25.15" customHeight="1">
      <c r="A15" s="376">
        <f t="shared" si="3"/>
        <v>13</v>
      </c>
      <c r="B15" s="387" t="s">
        <v>395</v>
      </c>
      <c r="C15" s="387" t="s">
        <v>396</v>
      </c>
      <c r="D15" s="387" t="s">
        <v>367</v>
      </c>
      <c r="E15" s="387" t="s">
        <v>40</v>
      </c>
      <c r="F15" s="387" t="s">
        <v>41</v>
      </c>
      <c r="G15" s="387" t="s">
        <v>42</v>
      </c>
      <c r="H15" s="401" t="s">
        <v>11</v>
      </c>
      <c r="I15" s="356"/>
      <c r="J15" s="356"/>
      <c r="K15" s="356"/>
      <c r="L15" s="356"/>
      <c r="M15" s="356"/>
      <c r="N15" s="356"/>
      <c r="O15" s="395"/>
      <c r="P15" s="389" t="s">
        <v>368</v>
      </c>
      <c r="Q15" s="380"/>
      <c r="R15" s="380"/>
      <c r="S15" s="380" t="s">
        <v>368</v>
      </c>
      <c r="T15" s="380"/>
      <c r="U15" s="356" t="s">
        <v>368</v>
      </c>
      <c r="V15" s="382"/>
      <c r="W15" s="380"/>
      <c r="X15" s="380" t="s">
        <v>368</v>
      </c>
      <c r="Y15" s="380"/>
      <c r="Z15" s="380"/>
      <c r="AA15" s="380"/>
      <c r="AB15" s="356"/>
      <c r="AC15" s="356"/>
      <c r="AD15" s="380"/>
      <c r="AE15" s="389"/>
      <c r="AF15" s="380"/>
      <c r="AG15" s="380"/>
      <c r="AH15" s="380"/>
      <c r="AI15" s="380"/>
      <c r="AJ15" s="380"/>
      <c r="AK15" s="380"/>
      <c r="AL15" s="380"/>
      <c r="AM15" s="380"/>
      <c r="AN15" s="380"/>
      <c r="AO15" s="356"/>
      <c r="AP15" s="380"/>
      <c r="AQ15" s="380" t="s">
        <v>368</v>
      </c>
      <c r="AR15" s="380"/>
      <c r="AS15" s="380"/>
      <c r="AT15" s="376"/>
      <c r="AU15" s="376"/>
      <c r="AV15" s="376"/>
      <c r="AW15" s="383"/>
      <c r="AX15" s="173"/>
      <c r="AY15" s="173"/>
      <c r="AZ15" s="173"/>
      <c r="BA15" s="173"/>
      <c r="BB15" s="173"/>
      <c r="BC15" s="173"/>
      <c r="BD15" s="173"/>
      <c r="BE15" s="1"/>
      <c r="BF15" s="89"/>
      <c r="BG15" s="233"/>
      <c r="BH15" s="233"/>
      <c r="BI15" s="385"/>
      <c r="BJ15" s="233"/>
    </row>
    <row r="16" spans="1:103" ht="25.15" customHeight="1">
      <c r="A16" s="376">
        <f t="shared" si="3"/>
        <v>14</v>
      </c>
      <c r="B16" s="387" t="s">
        <v>397</v>
      </c>
      <c r="C16" s="387" t="s">
        <v>398</v>
      </c>
      <c r="D16" s="387" t="s">
        <v>367</v>
      </c>
      <c r="E16" s="387" t="s">
        <v>43</v>
      </c>
      <c r="F16" s="387" t="s">
        <v>44</v>
      </c>
      <c r="G16" s="387" t="s">
        <v>45</v>
      </c>
      <c r="H16" s="401" t="s">
        <v>11</v>
      </c>
      <c r="I16" s="392"/>
      <c r="J16" s="392"/>
      <c r="K16" s="392"/>
      <c r="L16" s="392"/>
      <c r="M16" s="392"/>
      <c r="N16" s="392"/>
      <c r="O16" s="395"/>
      <c r="P16" s="389"/>
      <c r="Q16" s="380" t="s">
        <v>368</v>
      </c>
      <c r="R16" s="380"/>
      <c r="S16" s="380"/>
      <c r="T16" s="380"/>
      <c r="U16" s="356"/>
      <c r="V16" s="382"/>
      <c r="W16" s="380" t="s">
        <v>368</v>
      </c>
      <c r="X16" s="380"/>
      <c r="Y16" s="380"/>
      <c r="Z16" s="380" t="s">
        <v>368</v>
      </c>
      <c r="AA16" s="380"/>
      <c r="AB16" s="356" t="s">
        <v>368</v>
      </c>
      <c r="AC16" s="356"/>
      <c r="AD16" s="380"/>
      <c r="AE16" s="380"/>
      <c r="AF16" s="380"/>
      <c r="AG16" s="380"/>
      <c r="AH16" s="380"/>
      <c r="AI16" s="380"/>
      <c r="AJ16" s="380"/>
      <c r="AK16" s="380"/>
      <c r="AL16" s="380"/>
      <c r="AM16" s="380"/>
      <c r="AN16" s="380"/>
      <c r="AO16" s="356"/>
      <c r="AP16" s="380"/>
      <c r="AQ16" s="380"/>
      <c r="AR16" s="380"/>
      <c r="AS16" s="380"/>
      <c r="AT16" s="376" t="s">
        <v>370</v>
      </c>
      <c r="AU16" s="376"/>
      <c r="AV16" s="376"/>
      <c r="AW16" s="383"/>
      <c r="AX16" s="173"/>
      <c r="AY16" s="173"/>
      <c r="AZ16" s="173"/>
      <c r="BA16" s="173"/>
      <c r="BB16" s="173"/>
      <c r="BC16" s="173"/>
      <c r="BD16" s="173"/>
      <c r="BE16" s="1"/>
      <c r="BF16" s="89"/>
      <c r="BG16" s="233"/>
      <c r="BH16" s="233"/>
      <c r="BI16" s="385"/>
      <c r="BJ16" s="233"/>
    </row>
    <row r="17" spans="1:62" ht="25.15" customHeight="1">
      <c r="A17" s="376">
        <f t="shared" si="3"/>
        <v>15</v>
      </c>
      <c r="B17" s="387" t="s">
        <v>399</v>
      </c>
      <c r="C17" s="387" t="s">
        <v>400</v>
      </c>
      <c r="D17" s="387" t="s">
        <v>367</v>
      </c>
      <c r="E17" s="387" t="s">
        <v>46</v>
      </c>
      <c r="F17" s="387" t="s">
        <v>47</v>
      </c>
      <c r="G17" s="387" t="s">
        <v>48</v>
      </c>
      <c r="H17" s="401" t="s">
        <v>11</v>
      </c>
      <c r="I17" s="392"/>
      <c r="J17" s="392"/>
      <c r="K17" s="392"/>
      <c r="L17" s="392"/>
      <c r="M17" s="392"/>
      <c r="N17" s="392"/>
      <c r="O17" s="392"/>
      <c r="P17" s="389"/>
      <c r="Q17" s="380" t="s">
        <v>368</v>
      </c>
      <c r="R17" s="380"/>
      <c r="S17" s="380"/>
      <c r="T17" s="380" t="s">
        <v>368</v>
      </c>
      <c r="U17" s="356" t="s">
        <v>368</v>
      </c>
      <c r="V17" s="382"/>
      <c r="W17" s="380"/>
      <c r="X17" s="380" t="s">
        <v>368</v>
      </c>
      <c r="Y17" s="380"/>
      <c r="Z17" s="380" t="s">
        <v>368</v>
      </c>
      <c r="AA17" s="380"/>
      <c r="AB17" s="356"/>
      <c r="AC17" s="356"/>
      <c r="AD17" s="380" t="s">
        <v>368</v>
      </c>
      <c r="AE17" s="380"/>
      <c r="AF17" s="380" t="s">
        <v>368</v>
      </c>
      <c r="AG17" s="380"/>
      <c r="AH17" s="380"/>
      <c r="AI17" s="380"/>
      <c r="AJ17" s="380" t="s">
        <v>368</v>
      </c>
      <c r="AK17" s="380" t="s">
        <v>368</v>
      </c>
      <c r="AL17" s="380"/>
      <c r="AM17" s="380" t="s">
        <v>368</v>
      </c>
      <c r="AN17" s="380"/>
      <c r="AO17" s="356"/>
      <c r="AP17" s="380"/>
      <c r="AQ17" s="380"/>
      <c r="AR17" s="380"/>
      <c r="AS17" s="380"/>
      <c r="AT17" s="376"/>
      <c r="AU17" s="376"/>
      <c r="AV17" s="376" t="s">
        <v>370</v>
      </c>
      <c r="AW17" s="383"/>
      <c r="AX17" s="173" t="s">
        <v>370</v>
      </c>
      <c r="AY17" s="173"/>
      <c r="AZ17" s="173"/>
      <c r="BA17" s="173"/>
      <c r="BB17" s="173"/>
      <c r="BC17" s="173"/>
      <c r="BD17" s="173"/>
      <c r="BE17" s="1"/>
      <c r="BF17" s="89"/>
      <c r="BG17" s="233"/>
      <c r="BH17" s="233"/>
      <c r="BI17" s="385"/>
      <c r="BJ17" s="233"/>
    </row>
    <row r="18" spans="1:62" ht="25.15" customHeight="1">
      <c r="A18" s="376">
        <f t="shared" si="3"/>
        <v>16</v>
      </c>
      <c r="B18" s="387" t="s">
        <v>401</v>
      </c>
      <c r="C18" s="387" t="s">
        <v>402</v>
      </c>
      <c r="D18" s="387" t="s">
        <v>373</v>
      </c>
      <c r="E18" s="387" t="s">
        <v>49</v>
      </c>
      <c r="F18" s="387" t="s">
        <v>50</v>
      </c>
      <c r="G18" s="387" t="s">
        <v>51</v>
      </c>
      <c r="H18" s="401" t="s">
        <v>11</v>
      </c>
      <c r="I18" s="392"/>
      <c r="J18" s="392"/>
      <c r="K18" s="392"/>
      <c r="L18" s="392"/>
      <c r="M18" s="392"/>
      <c r="N18" s="392"/>
      <c r="O18" s="392"/>
      <c r="P18" s="389"/>
      <c r="Q18" s="389" t="s">
        <v>368</v>
      </c>
      <c r="R18" s="389"/>
      <c r="S18" s="389" t="s">
        <v>368</v>
      </c>
      <c r="T18" s="389"/>
      <c r="U18" s="356"/>
      <c r="V18" s="382" t="s">
        <v>368</v>
      </c>
      <c r="W18" s="380"/>
      <c r="X18" s="380"/>
      <c r="Y18" s="380"/>
      <c r="Z18" s="380"/>
      <c r="AA18" s="380"/>
      <c r="AB18" s="356" t="s">
        <v>368</v>
      </c>
      <c r="AC18" s="356"/>
      <c r="AD18" s="380"/>
      <c r="AE18" s="380"/>
      <c r="AF18" s="380"/>
      <c r="AG18" s="380"/>
      <c r="AH18" s="380"/>
      <c r="AI18" s="380"/>
      <c r="AJ18" s="380"/>
      <c r="AK18" s="380"/>
      <c r="AL18" s="380"/>
      <c r="AM18" s="380"/>
      <c r="AN18" s="380"/>
      <c r="AO18" s="356"/>
      <c r="AP18" s="380"/>
      <c r="AQ18" s="380" t="s">
        <v>368</v>
      </c>
      <c r="AR18" s="380"/>
      <c r="AS18" s="380"/>
      <c r="AT18" s="376"/>
      <c r="AU18" s="376"/>
      <c r="AV18" s="376"/>
      <c r="AW18" s="383"/>
      <c r="AX18" s="173"/>
      <c r="AY18" s="173"/>
      <c r="AZ18" s="173"/>
      <c r="BA18" s="173"/>
      <c r="BB18" s="173"/>
      <c r="BC18" s="173"/>
      <c r="BD18" s="173"/>
      <c r="BE18" s="1"/>
      <c r="BF18" s="89" t="s">
        <v>370</v>
      </c>
      <c r="BG18" s="233" t="s">
        <v>370</v>
      </c>
      <c r="BH18" s="233"/>
      <c r="BI18" s="385"/>
      <c r="BJ18" s="233"/>
    </row>
    <row r="19" spans="1:62" ht="25.15" customHeight="1">
      <c r="A19" s="376">
        <f t="shared" si="3"/>
        <v>17</v>
      </c>
      <c r="B19" s="387" t="s">
        <v>397</v>
      </c>
      <c r="C19" s="387" t="s">
        <v>403</v>
      </c>
      <c r="D19" s="387" t="s">
        <v>404</v>
      </c>
      <c r="E19" s="387" t="s">
        <v>52</v>
      </c>
      <c r="F19" s="388" t="s">
        <v>53</v>
      </c>
      <c r="G19" s="387" t="s">
        <v>54</v>
      </c>
      <c r="H19" s="401" t="s">
        <v>11</v>
      </c>
      <c r="I19" s="356"/>
      <c r="J19" s="356"/>
      <c r="K19" s="356"/>
      <c r="L19" s="356"/>
      <c r="M19" s="356"/>
      <c r="N19" s="356"/>
      <c r="O19" s="356"/>
      <c r="P19" s="356"/>
      <c r="Q19" s="356" t="s">
        <v>368</v>
      </c>
      <c r="R19" s="356"/>
      <c r="S19" s="356" t="s">
        <v>368</v>
      </c>
      <c r="T19" s="380"/>
      <c r="U19" s="356"/>
      <c r="V19" s="382"/>
      <c r="W19" s="380"/>
      <c r="X19" s="380" t="s">
        <v>368</v>
      </c>
      <c r="Y19" s="380"/>
      <c r="Z19" s="380"/>
      <c r="AA19" s="380"/>
      <c r="AB19" s="356"/>
      <c r="AC19" s="356"/>
      <c r="AD19" s="380"/>
      <c r="AE19" s="380"/>
      <c r="AF19" s="380"/>
      <c r="AG19" s="380"/>
      <c r="AH19" s="380"/>
      <c r="AI19" s="380"/>
      <c r="AJ19" s="380"/>
      <c r="AK19" s="380"/>
      <c r="AL19" s="380"/>
      <c r="AM19" s="380"/>
      <c r="AN19" s="380"/>
      <c r="AO19" s="356"/>
      <c r="AP19" s="380"/>
      <c r="AQ19" s="380"/>
      <c r="AR19" s="380"/>
      <c r="AS19" s="380"/>
      <c r="AT19" s="376"/>
      <c r="AU19" s="376"/>
      <c r="AV19" s="376"/>
      <c r="AW19" s="383"/>
      <c r="AX19" s="173"/>
      <c r="AY19" s="173"/>
      <c r="AZ19" s="173"/>
      <c r="BA19" s="173"/>
      <c r="BB19" s="173"/>
      <c r="BC19" s="173"/>
      <c r="BD19" s="173"/>
      <c r="BE19" s="1"/>
      <c r="BF19" s="89"/>
      <c r="BG19" s="233"/>
      <c r="BH19" s="233"/>
      <c r="BI19" s="385"/>
      <c r="BJ19" s="233"/>
    </row>
    <row r="20" spans="1:62" ht="25.15" customHeight="1">
      <c r="A20" s="376">
        <f t="shared" si="3"/>
        <v>18</v>
      </c>
      <c r="B20" s="387" t="s">
        <v>405</v>
      </c>
      <c r="C20" s="387" t="s">
        <v>386</v>
      </c>
      <c r="D20" s="387" t="s">
        <v>404</v>
      </c>
      <c r="E20" s="387" t="s">
        <v>29</v>
      </c>
      <c r="F20" s="387" t="s">
        <v>30</v>
      </c>
      <c r="G20" s="387" t="s">
        <v>31</v>
      </c>
      <c r="H20" s="401" t="s">
        <v>11</v>
      </c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 t="s">
        <v>368</v>
      </c>
      <c r="T20" s="380" t="s">
        <v>368</v>
      </c>
      <c r="U20" s="356" t="s">
        <v>368</v>
      </c>
      <c r="V20" s="382"/>
      <c r="W20" s="380"/>
      <c r="X20" s="380"/>
      <c r="Y20" s="380"/>
      <c r="Z20" s="380"/>
      <c r="AA20" s="380"/>
      <c r="AB20" s="356"/>
      <c r="AC20" s="356"/>
      <c r="AD20" s="380" t="s">
        <v>368</v>
      </c>
      <c r="AE20" s="380"/>
      <c r="AF20" s="380"/>
      <c r="AG20" s="380"/>
      <c r="AH20" s="380"/>
      <c r="AI20" s="380" t="s">
        <v>368</v>
      </c>
      <c r="AJ20" s="380" t="s">
        <v>368</v>
      </c>
      <c r="AK20" s="380" t="s">
        <v>368</v>
      </c>
      <c r="AL20" s="380"/>
      <c r="AM20" s="380"/>
      <c r="AN20" s="380"/>
      <c r="AO20" s="356" t="s">
        <v>368</v>
      </c>
      <c r="AP20" s="380"/>
      <c r="AQ20" s="380"/>
      <c r="AR20" s="380"/>
      <c r="AS20" s="380"/>
      <c r="AT20" s="376" t="s">
        <v>370</v>
      </c>
      <c r="AU20" s="376"/>
      <c r="AV20" s="376" t="s">
        <v>370</v>
      </c>
      <c r="AW20" s="383" t="s">
        <v>370</v>
      </c>
      <c r="AX20" s="173" t="s">
        <v>370</v>
      </c>
      <c r="AY20" s="173"/>
      <c r="AZ20" s="173"/>
      <c r="BA20" s="173" t="s">
        <v>370</v>
      </c>
      <c r="BB20" s="173" t="s">
        <v>370</v>
      </c>
      <c r="BC20" s="173"/>
      <c r="BD20" s="173"/>
      <c r="BE20" s="1"/>
      <c r="BF20" s="89"/>
      <c r="BG20" s="233"/>
      <c r="BH20" s="233"/>
      <c r="BI20" s="385"/>
      <c r="BJ20" s="233"/>
    </row>
    <row r="21" spans="1:62" ht="25.15" customHeight="1">
      <c r="A21" s="376">
        <f t="shared" si="3"/>
        <v>19</v>
      </c>
      <c r="B21" s="387" t="s">
        <v>406</v>
      </c>
      <c r="C21" s="387" t="s">
        <v>407</v>
      </c>
      <c r="D21" s="387" t="s">
        <v>378</v>
      </c>
      <c r="E21" s="387" t="s">
        <v>55</v>
      </c>
      <c r="F21" s="387" t="s">
        <v>56</v>
      </c>
      <c r="G21" s="387" t="s">
        <v>57</v>
      </c>
      <c r="H21" s="401" t="s">
        <v>11</v>
      </c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 t="s">
        <v>368</v>
      </c>
      <c r="T21" s="380"/>
      <c r="U21" s="356"/>
      <c r="V21" s="382"/>
      <c r="W21" s="380"/>
      <c r="X21" s="380"/>
      <c r="Y21" s="380"/>
      <c r="Z21" s="380"/>
      <c r="AA21" s="380"/>
      <c r="AB21" s="356"/>
      <c r="AC21" s="356"/>
      <c r="AD21" s="380"/>
      <c r="AE21" s="380"/>
      <c r="AF21" s="380"/>
      <c r="AG21" s="380"/>
      <c r="AH21" s="380"/>
      <c r="AI21" s="380"/>
      <c r="AJ21" s="380"/>
      <c r="AK21" s="380"/>
      <c r="AL21" s="380"/>
      <c r="AM21" s="380"/>
      <c r="AN21" s="380"/>
      <c r="AO21" s="356"/>
      <c r="AP21" s="380"/>
      <c r="AQ21" s="380" t="s">
        <v>368</v>
      </c>
      <c r="AR21" s="380"/>
      <c r="AS21" s="380"/>
      <c r="AT21" s="376"/>
      <c r="AU21" s="376"/>
      <c r="AV21" s="376"/>
      <c r="AW21" s="383"/>
      <c r="AX21" s="173"/>
      <c r="AY21" s="173"/>
      <c r="AZ21" s="173"/>
      <c r="BA21" s="173"/>
      <c r="BB21" s="173"/>
      <c r="BC21" s="173"/>
      <c r="BD21" s="173"/>
      <c r="BE21" s="1"/>
      <c r="BF21" s="89"/>
      <c r="BG21" s="233"/>
      <c r="BH21" s="233"/>
      <c r="BI21" s="385"/>
      <c r="BJ21" s="233"/>
    </row>
    <row r="22" spans="1:62" ht="25.15" customHeight="1">
      <c r="A22" s="376">
        <f t="shared" si="3"/>
        <v>20</v>
      </c>
      <c r="B22" s="387" t="s">
        <v>408</v>
      </c>
      <c r="C22" s="387" t="s">
        <v>409</v>
      </c>
      <c r="D22" s="387" t="s">
        <v>378</v>
      </c>
      <c r="E22" s="387" t="s">
        <v>58</v>
      </c>
      <c r="F22" s="404" t="s">
        <v>59</v>
      </c>
      <c r="G22" s="387" t="s">
        <v>60</v>
      </c>
      <c r="H22" s="401" t="s">
        <v>11</v>
      </c>
      <c r="I22" s="392"/>
      <c r="J22" s="392"/>
      <c r="K22" s="392"/>
      <c r="L22" s="392"/>
      <c r="M22" s="392"/>
      <c r="N22" s="392"/>
      <c r="O22" s="392"/>
      <c r="P22" s="392"/>
      <c r="Q22" s="392"/>
      <c r="R22" s="392"/>
      <c r="S22" s="392" t="s">
        <v>368</v>
      </c>
      <c r="T22" s="389"/>
      <c r="U22" s="356"/>
      <c r="V22" s="382"/>
      <c r="W22" s="380"/>
      <c r="X22" s="380"/>
      <c r="Y22" s="380"/>
      <c r="Z22" s="380"/>
      <c r="AA22" s="380"/>
      <c r="AB22" s="356"/>
      <c r="AC22" s="356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56"/>
      <c r="AP22" s="380"/>
      <c r="AQ22" s="380" t="s">
        <v>368</v>
      </c>
      <c r="AR22" s="380"/>
      <c r="AS22" s="380"/>
      <c r="AT22" s="376"/>
      <c r="AU22" s="376"/>
      <c r="AV22" s="376"/>
      <c r="AW22" s="383"/>
      <c r="AX22" s="173"/>
      <c r="AY22" s="173"/>
      <c r="AZ22" s="173"/>
      <c r="BA22" s="173"/>
      <c r="BB22" s="173"/>
      <c r="BC22" s="173"/>
      <c r="BD22" s="173"/>
      <c r="BE22" s="1"/>
      <c r="BF22" s="89"/>
      <c r="BG22" s="233"/>
      <c r="BH22" s="233"/>
      <c r="BI22" s="385"/>
      <c r="BJ22" s="233"/>
    </row>
    <row r="23" spans="1:62" ht="25.15" customHeight="1">
      <c r="A23" s="376">
        <f t="shared" si="3"/>
        <v>21</v>
      </c>
      <c r="B23" s="387" t="s">
        <v>410</v>
      </c>
      <c r="C23" s="387" t="s">
        <v>411</v>
      </c>
      <c r="D23" s="387" t="s">
        <v>404</v>
      </c>
      <c r="E23" s="379" t="s">
        <v>61</v>
      </c>
      <c r="F23" s="405" t="s">
        <v>62</v>
      </c>
      <c r="G23" s="406" t="s">
        <v>63</v>
      </c>
      <c r="H23" s="379" t="s">
        <v>11</v>
      </c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80" t="s">
        <v>368</v>
      </c>
      <c r="U23" s="356"/>
      <c r="V23" s="382"/>
      <c r="W23" s="380" t="s">
        <v>368</v>
      </c>
      <c r="X23" s="380"/>
      <c r="Y23" s="380"/>
      <c r="Z23" s="380"/>
      <c r="AA23" s="380"/>
      <c r="AB23" s="356"/>
      <c r="AC23" s="356"/>
      <c r="AD23" s="380"/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56" t="s">
        <v>368</v>
      </c>
      <c r="AP23" s="380"/>
      <c r="AQ23" s="380" t="s">
        <v>368</v>
      </c>
      <c r="AR23" s="380"/>
      <c r="AS23" s="380"/>
      <c r="AT23" s="376"/>
      <c r="AU23" s="376"/>
      <c r="AV23" s="376" t="s">
        <v>370</v>
      </c>
      <c r="AW23" s="383" t="s">
        <v>370</v>
      </c>
      <c r="AX23" s="173"/>
      <c r="AY23" s="173"/>
      <c r="AZ23" s="173" t="s">
        <v>370</v>
      </c>
      <c r="BA23" s="173" t="s">
        <v>370</v>
      </c>
      <c r="BB23" s="173"/>
      <c r="BC23" s="173"/>
      <c r="BD23" s="173"/>
      <c r="BE23" s="1"/>
      <c r="BF23" s="89"/>
      <c r="BG23" s="233"/>
      <c r="BH23" s="233"/>
      <c r="BI23" s="385"/>
      <c r="BJ23" s="233"/>
    </row>
    <row r="24" spans="1:62" ht="25.15" customHeight="1">
      <c r="A24" s="376">
        <f t="shared" si="3"/>
        <v>22</v>
      </c>
      <c r="B24" s="377" t="s">
        <v>412</v>
      </c>
      <c r="C24" s="377" t="s">
        <v>413</v>
      </c>
      <c r="D24" s="377" t="s">
        <v>378</v>
      </c>
      <c r="E24" s="377" t="s">
        <v>65</v>
      </c>
      <c r="F24" s="407" t="s">
        <v>66</v>
      </c>
      <c r="G24" s="408" t="s">
        <v>67</v>
      </c>
      <c r="H24" s="379" t="s">
        <v>11</v>
      </c>
      <c r="I24" s="409">
        <f t="shared" ref="I24:P24" si="4">COUNTIF(I3:I19,"yes")</f>
        <v>4</v>
      </c>
      <c r="J24" s="409">
        <f t="shared" si="4"/>
        <v>1</v>
      </c>
      <c r="K24" s="409">
        <f t="shared" si="4"/>
        <v>0</v>
      </c>
      <c r="L24" s="409">
        <f t="shared" si="4"/>
        <v>3</v>
      </c>
      <c r="M24" s="409">
        <f t="shared" si="4"/>
        <v>0</v>
      </c>
      <c r="N24" s="409">
        <f t="shared" si="4"/>
        <v>7</v>
      </c>
      <c r="O24" s="409">
        <f t="shared" si="4"/>
        <v>8</v>
      </c>
      <c r="P24" s="409">
        <f t="shared" si="4"/>
        <v>6</v>
      </c>
      <c r="Q24" s="410">
        <f>COUNTIF(Q3:Q22,"yes")</f>
        <v>9</v>
      </c>
      <c r="R24" s="214"/>
      <c r="S24" s="410">
        <f>COUNTIF(S3:S22,"yes")</f>
        <v>10</v>
      </c>
      <c r="T24" s="410">
        <f>COUNTIF(T3:T23,"yes")</f>
        <v>8</v>
      </c>
      <c r="U24" s="392" t="s">
        <v>368</v>
      </c>
      <c r="V24" s="403"/>
      <c r="W24" s="389" t="s">
        <v>368</v>
      </c>
      <c r="X24" s="380" t="s">
        <v>368</v>
      </c>
      <c r="Y24" s="380" t="s">
        <v>368</v>
      </c>
      <c r="Z24" s="380" t="s">
        <v>368</v>
      </c>
      <c r="AA24" s="380"/>
      <c r="AB24" s="356" t="s">
        <v>368</v>
      </c>
      <c r="AC24" s="356"/>
      <c r="AD24" s="380"/>
      <c r="AE24" s="380"/>
      <c r="AF24" s="380"/>
      <c r="AG24" s="380"/>
      <c r="AH24" s="380" t="s">
        <v>368</v>
      </c>
      <c r="AI24" s="380" t="s">
        <v>368</v>
      </c>
      <c r="AJ24" s="380"/>
      <c r="AK24" s="380" t="s">
        <v>368</v>
      </c>
      <c r="AL24" s="380"/>
      <c r="AM24" s="380"/>
      <c r="AN24" s="380"/>
      <c r="AO24" s="356" t="s">
        <v>368</v>
      </c>
      <c r="AP24" s="380"/>
      <c r="AQ24" s="380"/>
      <c r="AR24" s="380" t="s">
        <v>368</v>
      </c>
      <c r="AS24" s="380"/>
      <c r="AT24" s="376"/>
      <c r="AU24" s="376"/>
      <c r="AV24" s="376" t="s">
        <v>370</v>
      </c>
      <c r="AW24" s="383"/>
      <c r="AX24" s="173"/>
      <c r="AY24" s="173"/>
      <c r="AZ24" s="173" t="s">
        <v>370</v>
      </c>
      <c r="BA24" s="173" t="s">
        <v>370</v>
      </c>
      <c r="BB24" s="173"/>
      <c r="BC24" s="173" t="s">
        <v>370</v>
      </c>
      <c r="BD24" s="173"/>
      <c r="BE24" s="1"/>
      <c r="BF24" s="89"/>
      <c r="BG24" s="233"/>
      <c r="BH24" s="233"/>
      <c r="BI24" s="385"/>
      <c r="BJ24" s="233"/>
    </row>
    <row r="25" spans="1:62" ht="25.15" customHeight="1">
      <c r="A25" s="376">
        <f t="shared" si="3"/>
        <v>23</v>
      </c>
      <c r="B25" s="387" t="s">
        <v>397</v>
      </c>
      <c r="C25" s="387" t="s">
        <v>414</v>
      </c>
      <c r="D25" s="387" t="s">
        <v>404</v>
      </c>
      <c r="E25" s="387" t="s">
        <v>68</v>
      </c>
      <c r="F25" s="411" t="s">
        <v>69</v>
      </c>
      <c r="G25" s="411" t="s">
        <v>70</v>
      </c>
      <c r="H25" s="412" t="s">
        <v>11</v>
      </c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392"/>
      <c r="V25" s="392"/>
      <c r="W25" s="389"/>
      <c r="X25" s="380"/>
      <c r="Y25" s="380"/>
      <c r="Z25" s="380" t="s">
        <v>368</v>
      </c>
      <c r="AA25" s="380"/>
      <c r="AB25" s="356" t="s">
        <v>368</v>
      </c>
      <c r="AC25" s="356"/>
      <c r="AD25" s="380"/>
      <c r="AE25" s="380"/>
      <c r="AF25" s="380"/>
      <c r="AG25" s="380"/>
      <c r="AH25" s="380" t="s">
        <v>368</v>
      </c>
      <c r="AI25" s="380"/>
      <c r="AJ25" s="380"/>
      <c r="AK25" s="380"/>
      <c r="AL25" s="380"/>
      <c r="AM25" s="380" t="s">
        <v>368</v>
      </c>
      <c r="AN25" s="380"/>
      <c r="AO25" s="356"/>
      <c r="AP25" s="380"/>
      <c r="AQ25" s="380"/>
      <c r="AR25" s="380"/>
      <c r="AS25" s="380"/>
      <c r="AT25" s="376"/>
      <c r="AU25" s="376"/>
      <c r="AV25" s="376"/>
      <c r="AW25" s="383"/>
      <c r="AX25" s="173"/>
      <c r="AY25" s="173"/>
      <c r="AZ25" s="173"/>
      <c r="BA25" s="173"/>
      <c r="BB25" s="173"/>
      <c r="BC25" s="173" t="s">
        <v>370</v>
      </c>
      <c r="BD25" s="173"/>
      <c r="BE25" s="1"/>
      <c r="BF25" s="89"/>
      <c r="BG25" s="233"/>
      <c r="BH25" s="233" t="s">
        <v>370</v>
      </c>
      <c r="BI25" s="385" t="s">
        <v>370</v>
      </c>
      <c r="BJ25" s="233"/>
    </row>
    <row r="26" spans="1:62" ht="25.15" customHeight="1">
      <c r="A26" s="376">
        <f t="shared" si="3"/>
        <v>24</v>
      </c>
      <c r="B26" s="387" t="s">
        <v>415</v>
      </c>
      <c r="C26" s="387" t="s">
        <v>416</v>
      </c>
      <c r="D26" s="387" t="s">
        <v>378</v>
      </c>
      <c r="E26" s="387" t="s">
        <v>71</v>
      </c>
      <c r="F26" s="413" t="s">
        <v>72</v>
      </c>
      <c r="G26" s="543" t="s">
        <v>73</v>
      </c>
      <c r="H26" s="412" t="s">
        <v>11</v>
      </c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356"/>
      <c r="V26" s="356"/>
      <c r="W26" s="389" t="s">
        <v>369</v>
      </c>
      <c r="X26" s="389" t="s">
        <v>368</v>
      </c>
      <c r="Y26" s="380"/>
      <c r="Z26" s="380"/>
      <c r="AA26" s="380"/>
      <c r="AB26" s="380"/>
      <c r="AC26" s="356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56"/>
      <c r="AP26" s="380"/>
      <c r="AQ26" s="380"/>
      <c r="AR26" s="380"/>
      <c r="AS26" s="380"/>
      <c r="AT26" s="376" t="s">
        <v>370</v>
      </c>
      <c r="AU26" s="376"/>
      <c r="AV26" s="376"/>
      <c r="AW26" s="383"/>
      <c r="AX26" s="173"/>
      <c r="AY26" s="173"/>
      <c r="AZ26" s="173"/>
      <c r="BA26" s="173"/>
      <c r="BB26" s="173"/>
      <c r="BC26" s="173"/>
      <c r="BD26" s="173"/>
      <c r="BE26" s="1"/>
      <c r="BF26" s="89" t="s">
        <v>370</v>
      </c>
      <c r="BG26" s="233"/>
      <c r="BH26" s="233"/>
      <c r="BI26" s="385"/>
      <c r="BJ26" s="233"/>
    </row>
    <row r="27" spans="1:62" ht="25.15" customHeight="1">
      <c r="A27" s="376">
        <f t="shared" si="3"/>
        <v>25</v>
      </c>
      <c r="B27" s="387" t="s">
        <v>417</v>
      </c>
      <c r="C27" s="387" t="s">
        <v>418</v>
      </c>
      <c r="D27" s="387" t="s">
        <v>378</v>
      </c>
      <c r="E27" s="387" t="s">
        <v>74</v>
      </c>
      <c r="F27" s="413" t="s">
        <v>75</v>
      </c>
      <c r="G27" s="543" t="s">
        <v>76</v>
      </c>
      <c r="H27" s="412" t="s">
        <v>11</v>
      </c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392"/>
      <c r="X27" s="389" t="s">
        <v>368</v>
      </c>
      <c r="Y27" s="380" t="s">
        <v>368</v>
      </c>
      <c r="Z27" s="380"/>
      <c r="AA27" s="380"/>
      <c r="AB27" s="356" t="s">
        <v>368</v>
      </c>
      <c r="AC27" s="356"/>
      <c r="AD27" s="380"/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56" t="s">
        <v>368</v>
      </c>
      <c r="AP27" s="380"/>
      <c r="AQ27" s="380" t="s">
        <v>368</v>
      </c>
      <c r="AR27" s="380"/>
      <c r="AS27" s="380"/>
      <c r="AT27" s="376"/>
      <c r="AU27" s="376"/>
      <c r="AV27" s="376"/>
      <c r="AW27" s="383"/>
      <c r="AX27" s="173"/>
      <c r="AY27" s="173"/>
      <c r="AZ27" s="173"/>
      <c r="BA27" s="173"/>
      <c r="BB27" s="173"/>
      <c r="BC27" s="173"/>
      <c r="BD27" s="173"/>
      <c r="BE27" s="1"/>
      <c r="BF27" s="89"/>
      <c r="BG27" s="233"/>
      <c r="BH27" s="233"/>
      <c r="BI27" s="385"/>
      <c r="BJ27" s="233"/>
    </row>
    <row r="28" spans="1:62" ht="25.15" customHeight="1">
      <c r="A28" s="376">
        <f t="shared" si="3"/>
        <v>26</v>
      </c>
      <c r="B28" s="387" t="s">
        <v>419</v>
      </c>
      <c r="C28" s="387" t="s">
        <v>418</v>
      </c>
      <c r="D28" s="387" t="s">
        <v>378</v>
      </c>
      <c r="E28" s="387" t="s">
        <v>74</v>
      </c>
      <c r="F28" s="413" t="s">
        <v>75</v>
      </c>
      <c r="G28" s="543" t="s">
        <v>76</v>
      </c>
      <c r="H28" s="412" t="s">
        <v>11</v>
      </c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392"/>
      <c r="X28" s="389" t="s">
        <v>369</v>
      </c>
      <c r="Y28" s="389" t="s">
        <v>369</v>
      </c>
      <c r="Z28" s="380"/>
      <c r="AA28" s="380"/>
      <c r="AB28" s="356" t="s">
        <v>368</v>
      </c>
      <c r="AC28" s="356"/>
      <c r="AD28" s="380"/>
      <c r="AE28" s="380"/>
      <c r="AF28" s="380"/>
      <c r="AG28" s="380"/>
      <c r="AH28" s="380"/>
      <c r="AI28" s="380"/>
      <c r="AJ28" s="380"/>
      <c r="AK28" s="380"/>
      <c r="AL28" s="380"/>
      <c r="AM28" s="380"/>
      <c r="AN28" s="380"/>
      <c r="AO28" s="356" t="s">
        <v>368</v>
      </c>
      <c r="AP28" s="380"/>
      <c r="AQ28" s="380" t="s">
        <v>368</v>
      </c>
      <c r="AR28" s="380"/>
      <c r="AS28" s="380"/>
      <c r="AT28" s="376"/>
      <c r="AU28" s="376"/>
      <c r="AV28" s="376"/>
      <c r="AW28" s="383"/>
      <c r="AX28" s="173"/>
      <c r="AY28" s="173"/>
      <c r="AZ28" s="173"/>
      <c r="BA28" s="173"/>
      <c r="BB28" s="173"/>
      <c r="BC28" s="173"/>
      <c r="BD28" s="173"/>
      <c r="BE28" s="1"/>
      <c r="BF28" s="89"/>
      <c r="BG28" s="233"/>
      <c r="BH28" s="233"/>
      <c r="BI28" s="385"/>
      <c r="BJ28" s="233"/>
    </row>
    <row r="29" spans="1:62" ht="25.15" customHeight="1">
      <c r="A29" s="376">
        <f t="shared" si="3"/>
        <v>27</v>
      </c>
      <c r="B29" s="387" t="s">
        <v>415</v>
      </c>
      <c r="C29" s="387" t="s">
        <v>420</v>
      </c>
      <c r="D29" s="387" t="s">
        <v>378</v>
      </c>
      <c r="E29" s="387" t="s">
        <v>77</v>
      </c>
      <c r="F29" s="411" t="s">
        <v>78</v>
      </c>
      <c r="G29" s="411" t="s">
        <v>79</v>
      </c>
      <c r="H29" s="412" t="s">
        <v>11</v>
      </c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356"/>
      <c r="X29" s="356" t="s">
        <v>369</v>
      </c>
      <c r="Y29" s="389"/>
      <c r="Z29" s="389" t="s">
        <v>368</v>
      </c>
      <c r="AA29" s="389"/>
      <c r="AB29" s="392"/>
      <c r="AC29" s="356"/>
      <c r="AD29" s="380"/>
      <c r="AE29" s="380"/>
      <c r="AF29" s="380"/>
      <c r="AG29" s="380"/>
      <c r="AH29" s="380"/>
      <c r="AI29" s="380" t="s">
        <v>368</v>
      </c>
      <c r="AJ29" s="380" t="s">
        <v>368</v>
      </c>
      <c r="AK29" s="380" t="s">
        <v>368</v>
      </c>
      <c r="AL29" s="380"/>
      <c r="AM29" s="380" t="s">
        <v>368</v>
      </c>
      <c r="AN29" s="380"/>
      <c r="AO29" s="356" t="s">
        <v>368</v>
      </c>
      <c r="AP29" s="380"/>
      <c r="AQ29" s="380"/>
      <c r="AR29" s="380"/>
      <c r="AS29" s="380"/>
      <c r="AT29" s="376"/>
      <c r="AU29" s="376"/>
      <c r="AV29" s="376" t="s">
        <v>370</v>
      </c>
      <c r="AW29" s="383"/>
      <c r="AX29" s="173"/>
      <c r="AY29" s="173"/>
      <c r="AZ29" s="173"/>
      <c r="BA29" s="173"/>
      <c r="BB29" s="173"/>
      <c r="BC29" s="173"/>
      <c r="BD29" s="173"/>
      <c r="BE29" s="1"/>
      <c r="BF29" s="89"/>
      <c r="BG29" s="233"/>
      <c r="BH29" s="233"/>
      <c r="BI29" s="385"/>
      <c r="BJ29" s="233"/>
    </row>
    <row r="30" spans="1:62" ht="25.15" customHeight="1">
      <c r="A30" s="376">
        <f t="shared" si="3"/>
        <v>28</v>
      </c>
      <c r="B30" s="377" t="s">
        <v>421</v>
      </c>
      <c r="C30" s="377" t="s">
        <v>422</v>
      </c>
      <c r="D30" s="377" t="s">
        <v>378</v>
      </c>
      <c r="E30" s="377" t="s">
        <v>80</v>
      </c>
      <c r="F30" s="407" t="s">
        <v>81</v>
      </c>
      <c r="G30" s="414" t="s">
        <v>82</v>
      </c>
      <c r="H30" s="412" t="s">
        <v>11</v>
      </c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392"/>
      <c r="Z30" s="392"/>
      <c r="AA30" s="392"/>
      <c r="AB30" s="392"/>
      <c r="AC30" s="392"/>
      <c r="AD30" s="389" t="s">
        <v>368</v>
      </c>
      <c r="AE30" s="380"/>
      <c r="AF30" s="389"/>
      <c r="AG30" s="389"/>
      <c r="AH30" s="389" t="s">
        <v>368</v>
      </c>
      <c r="AI30" s="389"/>
      <c r="AJ30" s="389" t="s">
        <v>368</v>
      </c>
      <c r="AK30" s="380" t="s">
        <v>368</v>
      </c>
      <c r="AL30" s="380"/>
      <c r="AM30" s="380"/>
      <c r="AN30" s="380"/>
      <c r="AO30" s="356" t="s">
        <v>368</v>
      </c>
      <c r="AP30" s="380"/>
      <c r="AQ30" s="380"/>
      <c r="AR30" s="380" t="s">
        <v>368</v>
      </c>
      <c r="AS30" s="380"/>
      <c r="AT30" s="376" t="s">
        <v>370</v>
      </c>
      <c r="AU30" s="376"/>
      <c r="AV30" s="376"/>
      <c r="AW30" s="383" t="s">
        <v>370</v>
      </c>
      <c r="AX30" s="173" t="s">
        <v>370</v>
      </c>
      <c r="AY30" s="173"/>
      <c r="AZ30" s="173" t="s">
        <v>370</v>
      </c>
      <c r="BA30" s="173" t="s">
        <v>370</v>
      </c>
      <c r="BB30" s="173"/>
      <c r="BC30" s="173" t="s">
        <v>370</v>
      </c>
      <c r="BD30" s="173"/>
      <c r="BE30" s="1"/>
      <c r="BF30" s="89"/>
      <c r="BG30" s="233"/>
      <c r="BH30" s="233"/>
      <c r="BI30" s="385"/>
      <c r="BJ30" s="233"/>
    </row>
    <row r="31" spans="1:62" ht="25.15" customHeight="1">
      <c r="A31" s="376">
        <f t="shared" si="3"/>
        <v>29</v>
      </c>
      <c r="B31" s="387" t="s">
        <v>423</v>
      </c>
      <c r="C31" s="387"/>
      <c r="D31" s="387"/>
      <c r="E31" s="387"/>
      <c r="F31" s="387"/>
      <c r="G31" s="387"/>
      <c r="H31" s="412" t="s">
        <v>11</v>
      </c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356"/>
      <c r="Z31" s="356"/>
      <c r="AA31" s="356"/>
      <c r="AB31" s="356"/>
      <c r="AC31" s="356"/>
      <c r="AD31" s="380"/>
      <c r="AE31" s="381"/>
      <c r="AF31" s="356"/>
      <c r="AG31" s="356"/>
      <c r="AH31" s="356"/>
      <c r="AI31" s="356" t="s">
        <v>368</v>
      </c>
      <c r="AJ31" s="380"/>
      <c r="AK31" s="380" t="s">
        <v>368</v>
      </c>
      <c r="AL31" s="380"/>
      <c r="AM31" s="380"/>
      <c r="AN31" s="380"/>
      <c r="AO31" s="356"/>
      <c r="AP31" s="380"/>
      <c r="AQ31" s="380"/>
      <c r="AR31" s="380"/>
      <c r="AS31" s="380"/>
      <c r="AT31" s="376"/>
      <c r="AU31" s="376"/>
      <c r="AV31" s="376"/>
      <c r="AW31" s="383"/>
      <c r="AX31" s="173"/>
      <c r="AY31" s="173"/>
      <c r="AZ31" s="173"/>
      <c r="BA31" s="173"/>
      <c r="BB31" s="173"/>
      <c r="BC31" s="173"/>
      <c r="BD31" s="173"/>
      <c r="BE31" s="1"/>
      <c r="BF31" s="89"/>
      <c r="BG31" s="233"/>
      <c r="BH31" s="233"/>
      <c r="BI31" s="385"/>
      <c r="BJ31" s="233"/>
    </row>
    <row r="32" spans="1:62" ht="25.15" customHeight="1">
      <c r="A32" s="376">
        <f t="shared" si="3"/>
        <v>30</v>
      </c>
      <c r="B32" s="387" t="s">
        <v>424</v>
      </c>
      <c r="C32" s="387" t="s">
        <v>425</v>
      </c>
      <c r="D32" s="387" t="s">
        <v>404</v>
      </c>
      <c r="E32" s="387" t="s">
        <v>83</v>
      </c>
      <c r="F32" s="411" t="s">
        <v>84</v>
      </c>
      <c r="G32" s="387" t="s">
        <v>85</v>
      </c>
      <c r="H32" s="412" t="s">
        <v>11</v>
      </c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356"/>
      <c r="Z32" s="356"/>
      <c r="AA32" s="356"/>
      <c r="AB32" s="356"/>
      <c r="AC32" s="356"/>
      <c r="AD32" s="380"/>
      <c r="AE32" s="380"/>
      <c r="AF32" s="356"/>
      <c r="AG32" s="356"/>
      <c r="AH32" s="356"/>
      <c r="AI32" s="356" t="s">
        <v>368</v>
      </c>
      <c r="AJ32" s="380"/>
      <c r="AK32" s="380" t="s">
        <v>368</v>
      </c>
      <c r="AL32" s="380"/>
      <c r="AM32" s="380"/>
      <c r="AN32" s="380"/>
      <c r="AO32" s="356"/>
      <c r="AP32" s="380"/>
      <c r="AQ32" s="380"/>
      <c r="AR32" s="380"/>
      <c r="AS32" s="380"/>
      <c r="AT32" s="376"/>
      <c r="AU32" s="376"/>
      <c r="AV32" s="376"/>
      <c r="AW32" s="383"/>
      <c r="AX32" s="173"/>
      <c r="AY32" s="173"/>
      <c r="AZ32" s="173"/>
      <c r="BA32" s="173"/>
      <c r="BB32" s="173"/>
      <c r="BC32" s="173"/>
      <c r="BD32" s="173"/>
      <c r="BE32" s="1"/>
      <c r="BF32" s="89"/>
      <c r="BG32" s="233"/>
      <c r="BH32" s="233"/>
      <c r="BI32" s="385"/>
      <c r="BJ32" s="233"/>
    </row>
    <row r="33" spans="1:62" ht="25.15" customHeight="1">
      <c r="A33" s="376">
        <f t="shared" si="3"/>
        <v>31</v>
      </c>
      <c r="B33" s="387" t="s">
        <v>426</v>
      </c>
      <c r="C33" s="387" t="s">
        <v>425</v>
      </c>
      <c r="D33" s="387" t="s">
        <v>378</v>
      </c>
      <c r="E33" s="387" t="s">
        <v>83</v>
      </c>
      <c r="F33" s="411" t="s">
        <v>84</v>
      </c>
      <c r="G33" s="387" t="s">
        <v>85</v>
      </c>
      <c r="H33" s="412" t="s">
        <v>11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356"/>
      <c r="Z33" s="356"/>
      <c r="AA33" s="356"/>
      <c r="AB33" s="356"/>
      <c r="AC33" s="356"/>
      <c r="AD33" s="380"/>
      <c r="AE33" s="380"/>
      <c r="AF33" s="356"/>
      <c r="AG33" s="356"/>
      <c r="AH33" s="356"/>
      <c r="AI33" s="392" t="s">
        <v>368</v>
      </c>
      <c r="AJ33" s="389"/>
      <c r="AK33" s="380"/>
      <c r="AL33" s="380"/>
      <c r="AM33" s="380"/>
      <c r="AN33" s="380"/>
      <c r="AO33" s="356"/>
      <c r="AP33" s="380"/>
      <c r="AQ33" s="380"/>
      <c r="AR33" s="380"/>
      <c r="AS33" s="380"/>
      <c r="AT33" s="376"/>
      <c r="AU33" s="376"/>
      <c r="AV33" s="376"/>
      <c r="AW33" s="383"/>
      <c r="AX33" s="173"/>
      <c r="AY33" s="173"/>
      <c r="AZ33" s="173"/>
      <c r="BA33" s="173"/>
      <c r="BB33" s="173"/>
      <c r="BC33" s="173"/>
      <c r="BD33" s="173"/>
      <c r="BE33" s="1"/>
      <c r="BF33" s="89"/>
      <c r="BG33" s="233"/>
      <c r="BH33" s="233"/>
      <c r="BI33" s="385"/>
      <c r="BJ33" s="233"/>
    </row>
    <row r="34" spans="1:62" ht="25.15" customHeight="1">
      <c r="A34" s="376">
        <f t="shared" si="3"/>
        <v>32</v>
      </c>
      <c r="B34" s="387" t="s">
        <v>427</v>
      </c>
      <c r="C34" s="387" t="s">
        <v>428</v>
      </c>
      <c r="D34" s="387" t="s">
        <v>373</v>
      </c>
      <c r="E34" s="387" t="s">
        <v>429</v>
      </c>
      <c r="F34" s="415" t="s">
        <v>430</v>
      </c>
      <c r="G34" s="416" t="s">
        <v>431</v>
      </c>
      <c r="H34" s="412" t="s">
        <v>11</v>
      </c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  <c r="AS34" s="214"/>
      <c r="AT34" s="376"/>
      <c r="AU34" s="376"/>
      <c r="AV34" s="376"/>
      <c r="AW34" s="383" t="s">
        <v>370</v>
      </c>
      <c r="AX34" s="173" t="s">
        <v>370</v>
      </c>
      <c r="AY34" s="173"/>
      <c r="AZ34" s="173" t="s">
        <v>370</v>
      </c>
      <c r="BA34" s="173"/>
      <c r="BB34" s="173"/>
      <c r="BC34" s="173"/>
      <c r="BD34" s="173"/>
      <c r="BE34" s="1"/>
      <c r="BF34" s="89"/>
      <c r="BG34" s="233"/>
      <c r="BH34" s="233"/>
      <c r="BI34" s="385"/>
      <c r="BJ34" s="233"/>
    </row>
    <row r="35" spans="1:62" ht="25.15" customHeight="1">
      <c r="A35" s="376">
        <f t="shared" si="3"/>
        <v>33</v>
      </c>
      <c r="B35" s="387" t="s">
        <v>432</v>
      </c>
      <c r="C35" s="387" t="s">
        <v>433</v>
      </c>
      <c r="D35" s="387" t="s">
        <v>404</v>
      </c>
      <c r="E35" s="387" t="s">
        <v>434</v>
      </c>
      <c r="F35" s="387" t="s">
        <v>435</v>
      </c>
      <c r="G35" s="411" t="s">
        <v>436</v>
      </c>
      <c r="H35" s="412" t="s">
        <v>11</v>
      </c>
      <c r="I35" s="376"/>
      <c r="J35" s="376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76"/>
      <c r="AA35" s="376"/>
      <c r="AB35" s="376"/>
      <c r="AC35" s="376"/>
      <c r="AD35" s="376"/>
      <c r="AE35" s="376"/>
      <c r="AF35" s="376"/>
      <c r="AG35" s="376"/>
      <c r="AH35" s="376"/>
      <c r="AI35" s="376"/>
      <c r="AJ35" s="376"/>
      <c r="AK35" s="376"/>
      <c r="AL35" s="376"/>
      <c r="AM35" s="376"/>
      <c r="AN35" s="376"/>
      <c r="AO35" s="376"/>
      <c r="AP35" s="376"/>
      <c r="AQ35" s="376" t="s">
        <v>368</v>
      </c>
      <c r="AR35" s="376"/>
      <c r="AS35" s="383"/>
      <c r="AT35" s="376" t="s">
        <v>370</v>
      </c>
      <c r="AU35" s="376" t="s">
        <v>370</v>
      </c>
      <c r="AV35" s="376" t="s">
        <v>370</v>
      </c>
      <c r="AW35" s="383"/>
      <c r="AX35" s="173"/>
      <c r="AY35" s="173"/>
      <c r="AZ35" s="173"/>
      <c r="BA35" s="173"/>
      <c r="BB35" s="173"/>
      <c r="BC35" s="173"/>
      <c r="BD35" s="173" t="s">
        <v>370</v>
      </c>
      <c r="BE35" s="1"/>
      <c r="BF35" s="89"/>
      <c r="BG35" s="233" t="s">
        <v>370</v>
      </c>
      <c r="BH35" s="233"/>
      <c r="BI35" s="385"/>
      <c r="BJ35" s="233"/>
    </row>
    <row r="36" spans="1:62" ht="25.15" customHeight="1">
      <c r="A36" s="376">
        <f t="shared" si="3"/>
        <v>34</v>
      </c>
      <c r="B36" s="417" t="s">
        <v>437</v>
      </c>
      <c r="C36" s="417"/>
      <c r="D36" s="417"/>
      <c r="E36" s="417"/>
      <c r="F36" s="417"/>
      <c r="G36" s="417"/>
      <c r="H36" s="417" t="s">
        <v>11</v>
      </c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376"/>
      <c r="AU36" s="376"/>
      <c r="AV36" s="376"/>
      <c r="AW36" s="383"/>
      <c r="AX36" s="173"/>
      <c r="AY36" s="173"/>
      <c r="AZ36" s="173"/>
      <c r="BA36" s="173"/>
      <c r="BB36" s="173"/>
      <c r="BC36" s="173"/>
      <c r="BD36" s="173"/>
      <c r="BE36" s="1"/>
      <c r="BF36" s="89"/>
      <c r="BG36" s="233"/>
      <c r="BH36" s="233"/>
      <c r="BI36" s="385"/>
      <c r="BJ36" s="233"/>
    </row>
    <row r="37" spans="1:62" ht="25.15" customHeight="1">
      <c r="A37" s="376">
        <f t="shared" si="3"/>
        <v>35</v>
      </c>
      <c r="B37" s="377" t="s">
        <v>438</v>
      </c>
      <c r="C37" s="377"/>
      <c r="D37" s="377"/>
      <c r="E37" s="377"/>
      <c r="F37" s="377"/>
      <c r="G37" s="377"/>
      <c r="H37" s="417" t="s">
        <v>11</v>
      </c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376" t="s">
        <v>370</v>
      </c>
      <c r="AU37" s="376" t="s">
        <v>370</v>
      </c>
      <c r="AV37" s="376" t="s">
        <v>370</v>
      </c>
      <c r="AW37" s="383"/>
      <c r="AX37" s="173"/>
      <c r="AY37" s="173"/>
      <c r="AZ37" s="173"/>
      <c r="BA37" s="173"/>
      <c r="BB37" s="173"/>
      <c r="BC37" s="173"/>
      <c r="BD37" s="173"/>
      <c r="BE37" s="1"/>
      <c r="BF37" s="89"/>
      <c r="BG37" s="233"/>
      <c r="BH37" s="233"/>
      <c r="BI37" s="385"/>
      <c r="BJ37" s="233"/>
    </row>
    <row r="38" spans="1:62" ht="25.15" customHeight="1">
      <c r="A38" s="376">
        <f t="shared" si="3"/>
        <v>36</v>
      </c>
      <c r="B38" s="377" t="s">
        <v>410</v>
      </c>
      <c r="C38" s="377" t="s">
        <v>388</v>
      </c>
      <c r="D38" s="377" t="s">
        <v>367</v>
      </c>
      <c r="E38" s="377" t="s">
        <v>32</v>
      </c>
      <c r="F38" s="378" t="s">
        <v>33</v>
      </c>
      <c r="G38" s="400">
        <v>766013733</v>
      </c>
      <c r="H38" s="417" t="s">
        <v>11</v>
      </c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14"/>
      <c r="AM38" s="214"/>
      <c r="AN38" s="214"/>
      <c r="AO38" s="214"/>
      <c r="AP38" s="214"/>
      <c r="AQ38" s="214"/>
      <c r="AR38" s="214"/>
      <c r="AS38" s="214"/>
      <c r="AT38" s="376"/>
      <c r="AU38" s="376"/>
      <c r="AV38" s="376" t="s">
        <v>370</v>
      </c>
      <c r="AW38" s="383"/>
      <c r="AX38" s="173"/>
      <c r="AY38" s="173"/>
      <c r="AZ38" s="173" t="s">
        <v>370</v>
      </c>
      <c r="BA38" s="173"/>
      <c r="BB38" s="173"/>
      <c r="BC38" s="173"/>
      <c r="BD38" s="173" t="s">
        <v>370</v>
      </c>
      <c r="BE38" s="1"/>
      <c r="BF38" s="89"/>
      <c r="BG38" s="233"/>
      <c r="BH38" s="233"/>
      <c r="BI38" s="385"/>
      <c r="BJ38" s="233"/>
    </row>
    <row r="39" spans="1:62" ht="30.75" customHeight="1">
      <c r="A39" s="376">
        <f t="shared" si="3"/>
        <v>37</v>
      </c>
      <c r="B39" s="418" t="s">
        <v>439</v>
      </c>
      <c r="C39" s="419"/>
      <c r="D39" s="419"/>
      <c r="E39" s="419"/>
      <c r="F39" s="419"/>
      <c r="G39" s="419"/>
      <c r="H39" s="417" t="s">
        <v>11</v>
      </c>
      <c r="AT39" s="1"/>
      <c r="AU39" s="1"/>
      <c r="AV39" s="1"/>
      <c r="AW39" s="290" t="s">
        <v>370</v>
      </c>
      <c r="AX39" s="262"/>
      <c r="AY39" s="173"/>
      <c r="AZ39" s="173"/>
      <c r="BA39" s="173"/>
      <c r="BB39" s="173"/>
      <c r="BC39" s="173"/>
      <c r="BD39" s="173"/>
      <c r="BE39" s="1"/>
      <c r="BF39" s="89"/>
      <c r="BG39" s="233"/>
      <c r="BH39" s="233"/>
      <c r="BI39" s="385"/>
      <c r="BJ39" s="233"/>
    </row>
    <row r="40" spans="1:62" ht="23.25" customHeight="1">
      <c r="A40" s="376">
        <f t="shared" si="3"/>
        <v>38</v>
      </c>
      <c r="B40" s="21" t="s">
        <v>440</v>
      </c>
      <c r="C40" s="21" t="s">
        <v>441</v>
      </c>
      <c r="D40" s="21" t="s">
        <v>378</v>
      </c>
      <c r="E40" s="420" t="s">
        <v>442</v>
      </c>
      <c r="F40" s="34" t="s">
        <v>443</v>
      </c>
      <c r="G40" s="34" t="s">
        <v>444</v>
      </c>
      <c r="H40" s="417" t="s">
        <v>11</v>
      </c>
      <c r="AT40" s="1"/>
      <c r="AU40" s="1"/>
      <c r="AV40" s="1"/>
      <c r="AW40" s="89"/>
      <c r="AX40" s="262" t="s">
        <v>370</v>
      </c>
      <c r="AY40" s="262"/>
      <c r="AZ40" s="262" t="s">
        <v>370</v>
      </c>
      <c r="BA40" s="173"/>
      <c r="BB40" s="173"/>
      <c r="BC40" s="173"/>
      <c r="BD40" s="173"/>
      <c r="BE40" s="1"/>
      <c r="BF40" s="89"/>
      <c r="BG40" s="233"/>
      <c r="BH40" s="233"/>
      <c r="BI40" s="385"/>
      <c r="BJ40" s="233"/>
    </row>
    <row r="41" spans="1:62" ht="27" customHeight="1">
      <c r="A41" s="376">
        <f t="shared" si="3"/>
        <v>39</v>
      </c>
      <c r="B41" s="40" t="s">
        <v>445</v>
      </c>
      <c r="C41" s="421" t="s">
        <v>446</v>
      </c>
      <c r="D41" s="41" t="s">
        <v>404</v>
      </c>
      <c r="E41" s="422" t="s">
        <v>447</v>
      </c>
      <c r="F41" s="423" t="s">
        <v>448</v>
      </c>
      <c r="G41" s="424" t="s">
        <v>449</v>
      </c>
      <c r="H41" s="417" t="s">
        <v>11</v>
      </c>
      <c r="I41" s="425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6"/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 t="s">
        <v>370</v>
      </c>
      <c r="BB41" s="262" t="s">
        <v>370</v>
      </c>
      <c r="BC41" s="262" t="s">
        <v>370</v>
      </c>
      <c r="BD41" s="262" t="s">
        <v>370</v>
      </c>
      <c r="BE41" s="270" t="s">
        <v>370</v>
      </c>
      <c r="BF41" s="426"/>
      <c r="BG41" s="233" t="s">
        <v>370</v>
      </c>
      <c r="BH41" s="233" t="s">
        <v>370</v>
      </c>
      <c r="BI41" s="385"/>
      <c r="BJ41" s="233"/>
    </row>
    <row r="42" spans="1:62" ht="25.15" customHeight="1">
      <c r="A42" s="376">
        <f t="shared" si="3"/>
        <v>40</v>
      </c>
      <c r="B42" s="31" t="s">
        <v>450</v>
      </c>
      <c r="C42" s="31"/>
      <c r="D42" s="31"/>
      <c r="E42" s="31"/>
      <c r="F42" s="31"/>
      <c r="G42" s="31"/>
      <c r="H42" s="417" t="s">
        <v>11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262" t="s">
        <v>370</v>
      </c>
      <c r="BE42" s="18"/>
      <c r="BF42" s="19"/>
      <c r="BG42" s="233" t="s">
        <v>370</v>
      </c>
      <c r="BH42" s="233"/>
      <c r="BI42" s="385" t="s">
        <v>370</v>
      </c>
      <c r="BJ42" s="233"/>
    </row>
    <row r="43" spans="1:62" ht="25.15" customHeight="1">
      <c r="A43" s="427">
        <f t="shared" si="3"/>
        <v>41</v>
      </c>
      <c r="B43" s="45" t="s">
        <v>451</v>
      </c>
      <c r="C43" s="45"/>
      <c r="D43" s="45"/>
      <c r="E43" s="45"/>
      <c r="F43" s="45"/>
      <c r="G43" s="45"/>
      <c r="H43" s="417" t="s">
        <v>11</v>
      </c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262" t="s">
        <v>370</v>
      </c>
      <c r="BE43" s="43"/>
      <c r="BF43" s="44"/>
      <c r="BG43" s="233"/>
      <c r="BH43" s="233"/>
      <c r="BI43" s="385"/>
      <c r="BJ43" s="233"/>
    </row>
    <row r="44" spans="1:62" ht="24" customHeight="1">
      <c r="A44" s="427">
        <f t="shared" si="3"/>
        <v>42</v>
      </c>
      <c r="B44" s="428" t="s">
        <v>415</v>
      </c>
      <c r="C44" s="428" t="s">
        <v>372</v>
      </c>
      <c r="D44" s="428"/>
      <c r="E44" s="428"/>
      <c r="F44" s="428"/>
      <c r="G44" s="429"/>
      <c r="H44" s="377" t="s">
        <v>11</v>
      </c>
      <c r="I44" s="111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266" t="s">
        <v>370</v>
      </c>
      <c r="BF44" s="39"/>
      <c r="BG44" s="267" t="s">
        <v>370</v>
      </c>
      <c r="BH44" s="267" t="s">
        <v>370</v>
      </c>
      <c r="BI44" s="430"/>
      <c r="BJ44" s="267"/>
    </row>
    <row r="45" spans="1:62" s="336" customFormat="1" ht="22.9" customHeight="1">
      <c r="A45" s="376">
        <f t="shared" si="3"/>
        <v>43</v>
      </c>
      <c r="B45" s="418" t="s">
        <v>452</v>
      </c>
      <c r="C45" s="418"/>
      <c r="D45" s="418"/>
      <c r="E45" s="418"/>
      <c r="F45" s="418"/>
      <c r="G45" s="431"/>
      <c r="H45" s="377" t="s">
        <v>11</v>
      </c>
      <c r="I45" s="432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  <c r="BB45" s="289"/>
      <c r="BC45" s="289"/>
      <c r="BD45" s="289"/>
      <c r="BE45" s="289"/>
      <c r="BF45" s="289"/>
      <c r="BG45" s="170" t="s">
        <v>370</v>
      </c>
      <c r="BH45" s="170" t="s">
        <v>370</v>
      </c>
      <c r="BI45" s="170" t="s">
        <v>370</v>
      </c>
      <c r="BJ45" s="367"/>
    </row>
    <row r="46" spans="1:62" ht="15" customHeight="1">
      <c r="A46"/>
      <c r="B46"/>
      <c r="C46"/>
      <c r="D46"/>
      <c r="E46"/>
      <c r="F46"/>
      <c r="G46"/>
      <c r="H46"/>
    </row>
    <row r="47" spans="1:62" ht="15" customHeight="1">
      <c r="A47"/>
      <c r="B47"/>
      <c r="C47"/>
      <c r="D47"/>
      <c r="E47"/>
      <c r="F47"/>
      <c r="G47"/>
      <c r="H47"/>
    </row>
    <row r="48" spans="1:62" ht="15" customHeight="1">
      <c r="A48"/>
      <c r="B48"/>
      <c r="C48"/>
      <c r="D48"/>
      <c r="E48"/>
      <c r="F48"/>
      <c r="G48"/>
      <c r="H48"/>
    </row>
    <row r="49" spans="59:62" customFormat="1" ht="15" customHeight="1">
      <c r="BG49" s="2"/>
      <c r="BH49" s="2"/>
      <c r="BI49" s="2"/>
      <c r="BJ49" s="2"/>
    </row>
    <row r="50" spans="59:62" customFormat="1" ht="15" customHeight="1">
      <c r="BG50" s="2"/>
      <c r="BH50" s="2"/>
      <c r="BI50" s="2"/>
      <c r="BJ50" s="2"/>
    </row>
    <row r="51" spans="59:62" customFormat="1" ht="15" customHeight="1">
      <c r="BG51" s="2"/>
      <c r="BH51" s="2"/>
      <c r="BI51" s="2"/>
      <c r="BJ51" s="2"/>
    </row>
    <row r="52" spans="59:62" customFormat="1" ht="15" customHeight="1">
      <c r="BG52" s="2"/>
      <c r="BH52" s="2"/>
      <c r="BI52" s="2"/>
      <c r="BJ52" s="2"/>
    </row>
    <row r="53" spans="59:62" customFormat="1" ht="15" customHeight="1">
      <c r="BG53" s="2"/>
      <c r="BH53" s="2"/>
      <c r="BI53" s="2"/>
      <c r="BJ53" s="2"/>
    </row>
    <row r="54" spans="59:62" customFormat="1" ht="15" customHeight="1">
      <c r="BG54" s="2"/>
      <c r="BH54" s="2"/>
      <c r="BI54" s="2"/>
      <c r="BJ54" s="2"/>
    </row>
    <row r="55" spans="59:62" customFormat="1" ht="15" customHeight="1">
      <c r="BG55" s="2"/>
      <c r="BH55" s="2"/>
      <c r="BI55" s="2"/>
      <c r="BJ55" s="2"/>
    </row>
    <row r="56" spans="59:62" customFormat="1" ht="15" customHeight="1">
      <c r="BG56" s="2"/>
      <c r="BH56" s="2"/>
      <c r="BI56" s="2"/>
      <c r="BJ56" s="2"/>
    </row>
    <row r="57" spans="59:62" customFormat="1" ht="15" customHeight="1">
      <c r="BG57" s="2"/>
      <c r="BH57" s="2"/>
      <c r="BI57" s="2"/>
      <c r="BJ57" s="2"/>
    </row>
    <row r="58" spans="59:62" customFormat="1" ht="15" customHeight="1">
      <c r="BG58" s="2"/>
      <c r="BH58" s="2"/>
      <c r="BI58" s="2"/>
      <c r="BJ58" s="2"/>
    </row>
    <row r="59" spans="59:62" customFormat="1" ht="15" customHeight="1">
      <c r="BG59" s="2"/>
      <c r="BH59" s="2"/>
      <c r="BI59" s="2"/>
      <c r="BJ59" s="2"/>
    </row>
    <row r="60" spans="59:62" customFormat="1" ht="15" customHeight="1">
      <c r="BG60" s="2"/>
      <c r="BH60" s="2"/>
      <c r="BI60" s="2"/>
      <c r="BJ60" s="2"/>
    </row>
    <row r="61" spans="59:62" customFormat="1" ht="15" customHeight="1">
      <c r="BG61" s="2"/>
      <c r="BH61" s="2"/>
      <c r="BI61" s="2"/>
      <c r="BJ61" s="2"/>
    </row>
    <row r="62" spans="59:62" customFormat="1" ht="15" customHeight="1">
      <c r="BG62" s="2"/>
      <c r="BH62" s="2"/>
      <c r="BI62" s="2"/>
      <c r="BJ62" s="2"/>
    </row>
    <row r="63" spans="59:62" customFormat="1" ht="15" customHeight="1">
      <c r="BG63" s="2"/>
      <c r="BH63" s="2"/>
      <c r="BI63" s="2"/>
      <c r="BJ63" s="2"/>
    </row>
    <row r="64" spans="59:62" customFormat="1" ht="15" customHeight="1">
      <c r="BG64" s="2"/>
      <c r="BH64" s="2"/>
      <c r="BI64" s="2"/>
      <c r="BJ64" s="2"/>
    </row>
    <row r="65" spans="59:62" customFormat="1" ht="15" customHeight="1">
      <c r="BG65" s="2"/>
      <c r="BH65" s="2"/>
      <c r="BI65" s="2"/>
      <c r="BJ65" s="2"/>
    </row>
    <row r="66" spans="59:62" customFormat="1" ht="15" customHeight="1">
      <c r="BG66" s="2"/>
      <c r="BH66" s="2"/>
      <c r="BI66" s="2"/>
      <c r="BJ66" s="2"/>
    </row>
    <row r="67" spans="59:62" customFormat="1" ht="15" customHeight="1">
      <c r="BG67" s="2"/>
      <c r="BH67" s="2"/>
      <c r="BI67" s="2"/>
      <c r="BJ67" s="2"/>
    </row>
    <row r="68" spans="59:62" customFormat="1" ht="15" customHeight="1">
      <c r="BG68" s="2"/>
      <c r="BH68" s="2"/>
      <c r="BI68" s="2"/>
      <c r="BJ68" s="2"/>
    </row>
    <row r="69" spans="59:62" customFormat="1" ht="15" customHeight="1">
      <c r="BG69" s="2"/>
      <c r="BH69" s="2"/>
      <c r="BI69" s="2"/>
      <c r="BJ69" s="2"/>
    </row>
    <row r="70" spans="59:62" customFormat="1" ht="15" customHeight="1">
      <c r="BG70" s="2"/>
      <c r="BH70" s="2"/>
      <c r="BI70" s="2"/>
      <c r="BJ70" s="2"/>
    </row>
    <row r="71" spans="59:62" customFormat="1" ht="15" customHeight="1">
      <c r="BG71" s="2"/>
      <c r="BH71" s="2"/>
      <c r="BI71" s="2"/>
      <c r="BJ71" s="2"/>
    </row>
    <row r="72" spans="59:62" customFormat="1" ht="15" customHeight="1">
      <c r="BG72" s="2"/>
      <c r="BH72" s="2"/>
      <c r="BI72" s="2"/>
      <c r="BJ72" s="2"/>
    </row>
    <row r="73" spans="59:62" customFormat="1" ht="15" customHeight="1">
      <c r="BG73" s="2"/>
      <c r="BH73" s="2"/>
      <c r="BI73" s="2"/>
      <c r="BJ73" s="2"/>
    </row>
    <row r="74" spans="59:62" customFormat="1" ht="15" customHeight="1">
      <c r="BG74" s="2"/>
      <c r="BH74" s="2"/>
      <c r="BI74" s="2"/>
      <c r="BJ74" s="2"/>
    </row>
    <row r="75" spans="59:62" customFormat="1" ht="15" customHeight="1">
      <c r="BG75" s="2"/>
      <c r="BH75" s="2"/>
      <c r="BI75" s="2"/>
      <c r="BJ75" s="2"/>
    </row>
    <row r="76" spans="59:62" customFormat="1" ht="15" customHeight="1">
      <c r="BG76" s="2"/>
      <c r="BH76" s="2"/>
      <c r="BI76" s="2"/>
      <c r="BJ76" s="2"/>
    </row>
    <row r="77" spans="59:62" customFormat="1" ht="15" customHeight="1">
      <c r="BG77" s="2"/>
      <c r="BH77" s="2"/>
      <c r="BI77" s="2"/>
      <c r="BJ77" s="2"/>
    </row>
    <row r="78" spans="59:62" customFormat="1" ht="15" customHeight="1">
      <c r="BG78" s="2"/>
      <c r="BH78" s="2"/>
      <c r="BI78" s="2"/>
      <c r="BJ78" s="2"/>
    </row>
    <row r="79" spans="59:62" customFormat="1" ht="15" customHeight="1">
      <c r="BG79" s="2"/>
      <c r="BH79" s="2"/>
      <c r="BI79" s="2"/>
      <c r="BJ79" s="2"/>
    </row>
    <row r="80" spans="59:62" customFormat="1" ht="15" customHeight="1">
      <c r="BG80" s="2"/>
      <c r="BH80" s="2"/>
      <c r="BI80" s="2"/>
      <c r="BJ80" s="2"/>
    </row>
    <row r="81" spans="59:62" customFormat="1" ht="15" customHeight="1">
      <c r="BG81" s="2"/>
      <c r="BH81" s="2"/>
      <c r="BI81" s="2"/>
      <c r="BJ81" s="2"/>
    </row>
    <row r="82" spans="59:62" customFormat="1" ht="15" customHeight="1">
      <c r="BG82" s="2"/>
      <c r="BH82" s="2"/>
      <c r="BI82" s="2"/>
      <c r="BJ82" s="2"/>
    </row>
    <row r="83" spans="59:62" customFormat="1" ht="15" customHeight="1">
      <c r="BG83" s="2"/>
      <c r="BH83" s="2"/>
      <c r="BI83" s="2"/>
      <c r="BJ83" s="2"/>
    </row>
    <row r="84" spans="59:62" customFormat="1" ht="15" customHeight="1">
      <c r="BG84" s="2"/>
      <c r="BH84" s="2"/>
      <c r="BI84" s="2"/>
      <c r="BJ84" s="2"/>
    </row>
    <row r="85" spans="59:62" customFormat="1" ht="15" customHeight="1">
      <c r="BG85" s="2"/>
      <c r="BH85" s="2"/>
      <c r="BI85" s="2"/>
      <c r="BJ85" s="2"/>
    </row>
    <row r="86" spans="59:62" customFormat="1" ht="15" customHeight="1">
      <c r="BG86" s="2"/>
      <c r="BH86" s="2"/>
      <c r="BI86" s="2"/>
      <c r="BJ86" s="2"/>
    </row>
    <row r="87" spans="59:62" customFormat="1" ht="15" customHeight="1">
      <c r="BG87" s="2"/>
      <c r="BH87" s="2"/>
      <c r="BI87" s="2"/>
      <c r="BJ87" s="2"/>
    </row>
    <row r="88" spans="59:62" customFormat="1" ht="15" customHeight="1">
      <c r="BG88" s="2"/>
      <c r="BH88" s="2"/>
      <c r="BI88" s="2"/>
      <c r="BJ88" s="2"/>
    </row>
    <row r="89" spans="59:62" customFormat="1" ht="15" customHeight="1">
      <c r="BG89" s="2"/>
      <c r="BH89" s="2"/>
      <c r="BI89" s="2"/>
      <c r="BJ89" s="2"/>
    </row>
    <row r="90" spans="59:62" customFormat="1" ht="15" customHeight="1">
      <c r="BG90" s="2"/>
      <c r="BH90" s="2"/>
      <c r="BI90" s="2"/>
      <c r="BJ90" s="2"/>
    </row>
    <row r="91" spans="59:62" customFormat="1" ht="15" customHeight="1">
      <c r="BG91" s="2"/>
      <c r="BH91" s="2"/>
      <c r="BI91" s="2"/>
      <c r="BJ91" s="2"/>
    </row>
    <row r="92" spans="59:62" customFormat="1" ht="15" customHeight="1">
      <c r="BG92" s="2"/>
      <c r="BH92" s="2"/>
      <c r="BI92" s="2"/>
      <c r="BJ92" s="2"/>
    </row>
    <row r="93" spans="59:62" customFormat="1" ht="15" customHeight="1">
      <c r="BG93" s="2"/>
      <c r="BH93" s="2"/>
      <c r="BI93" s="2"/>
      <c r="BJ93" s="2"/>
    </row>
    <row r="94" spans="59:62" customFormat="1" ht="15" customHeight="1">
      <c r="BG94" s="2"/>
      <c r="BH94" s="2"/>
      <c r="BI94" s="2"/>
      <c r="BJ94" s="2"/>
    </row>
    <row r="95" spans="59:62" customFormat="1" ht="15" customHeight="1">
      <c r="BG95" s="2"/>
      <c r="BH95" s="2"/>
      <c r="BI95" s="2"/>
      <c r="BJ95" s="2"/>
    </row>
    <row r="96" spans="59:62" customFormat="1" ht="15" customHeight="1">
      <c r="BG96" s="2"/>
      <c r="BH96" s="2"/>
      <c r="BI96" s="2"/>
      <c r="BJ96" s="2"/>
    </row>
    <row r="97" spans="59:62" customFormat="1" ht="15" customHeight="1">
      <c r="BG97" s="2"/>
      <c r="BH97" s="2"/>
      <c r="BI97" s="2"/>
      <c r="BJ97" s="2"/>
    </row>
    <row r="98" spans="59:62" customFormat="1" ht="15" customHeight="1">
      <c r="BG98" s="2"/>
      <c r="BH98" s="2"/>
      <c r="BI98" s="2"/>
      <c r="BJ98" s="2"/>
    </row>
    <row r="99" spans="59:62" customFormat="1" ht="15" customHeight="1">
      <c r="BG99" s="2"/>
      <c r="BH99" s="2"/>
      <c r="BI99" s="2"/>
      <c r="BJ99" s="2"/>
    </row>
    <row r="100" spans="59:62" customFormat="1" ht="15" customHeight="1">
      <c r="BG100" s="2"/>
      <c r="BH100" s="2"/>
      <c r="BI100" s="2"/>
      <c r="BJ100" s="2"/>
    </row>
    <row r="101" spans="59:62" customFormat="1" ht="15" customHeight="1">
      <c r="BG101" s="2"/>
      <c r="BH101" s="2"/>
      <c r="BI101" s="2"/>
      <c r="BJ101" s="2"/>
    </row>
    <row r="102" spans="59:62" customFormat="1" ht="15" customHeight="1">
      <c r="BG102" s="2"/>
      <c r="BH102" s="2"/>
      <c r="BI102" s="2"/>
      <c r="BJ102" s="2"/>
    </row>
    <row r="103" spans="59:62" customFormat="1" ht="15" customHeight="1">
      <c r="BG103" s="2"/>
      <c r="BH103" s="2"/>
      <c r="BI103" s="2"/>
      <c r="BJ103" s="2"/>
    </row>
    <row r="104" spans="59:62" customFormat="1" ht="15" customHeight="1">
      <c r="BG104" s="2"/>
      <c r="BH104" s="2"/>
      <c r="BI104" s="2"/>
      <c r="BJ104" s="2"/>
    </row>
    <row r="105" spans="59:62" customFormat="1" ht="15" customHeight="1">
      <c r="BG105" s="2"/>
      <c r="BH105" s="2"/>
      <c r="BI105" s="2"/>
      <c r="BJ105" s="2"/>
    </row>
    <row r="106" spans="59:62" customFormat="1" ht="15" customHeight="1">
      <c r="BG106" s="2"/>
      <c r="BH106" s="2"/>
      <c r="BI106" s="2"/>
      <c r="BJ106" s="2"/>
    </row>
    <row r="107" spans="59:62" customFormat="1" ht="15" customHeight="1">
      <c r="BG107" s="2"/>
      <c r="BH107" s="2"/>
      <c r="BI107" s="2"/>
      <c r="BJ107" s="2"/>
    </row>
    <row r="108" spans="59:62" customFormat="1" ht="15" customHeight="1">
      <c r="BG108" s="2"/>
      <c r="BH108" s="2"/>
      <c r="BI108" s="2"/>
      <c r="BJ108" s="2"/>
    </row>
    <row r="109" spans="59:62" customFormat="1" ht="15" customHeight="1">
      <c r="BG109" s="2"/>
      <c r="BH109" s="2"/>
      <c r="BI109" s="2"/>
      <c r="BJ109" s="2"/>
    </row>
    <row r="110" spans="59:62" customFormat="1" ht="15" customHeight="1">
      <c r="BG110" s="2"/>
      <c r="BH110" s="2"/>
      <c r="BI110" s="2"/>
      <c r="BJ110" s="2"/>
    </row>
    <row r="111" spans="59:62" customFormat="1" ht="15" customHeight="1">
      <c r="BG111" s="2"/>
      <c r="BH111" s="2"/>
      <c r="BI111" s="2"/>
      <c r="BJ111" s="2"/>
    </row>
    <row r="112" spans="59:62" customFormat="1" ht="15" customHeight="1">
      <c r="BG112" s="2"/>
      <c r="BH112" s="2"/>
      <c r="BI112" s="2"/>
      <c r="BJ112" s="2"/>
    </row>
    <row r="113" spans="1:8" ht="15" customHeight="1">
      <c r="A113" s="46"/>
      <c r="B113" s="46"/>
      <c r="C113" s="46"/>
      <c r="D113" s="46"/>
      <c r="E113" s="46"/>
      <c r="F113" s="46"/>
      <c r="G113" s="46"/>
      <c r="H113" s="46"/>
    </row>
  </sheetData>
  <sortState xmlns:xlrd2="http://schemas.microsoft.com/office/spreadsheetml/2017/richdata2" ref="B3:L7">
    <sortCondition ref="B3:B7"/>
  </sortState>
  <mergeCells count="1">
    <mergeCell ref="A1:U1"/>
  </mergeCells>
  <dataValidations count="1">
    <dataValidation allowBlank="1" showInputMessage="1" showErrorMessage="1" sqref="B6:B33 B35:B1048576 H6:H9 B2:H5" xr:uid="{00000000-0002-0000-0100-000000000000}"/>
  </dataValidations>
  <hyperlinks>
    <hyperlink ref="F4" r:id="rId1" xr:uid="{00000000-0004-0000-0100-000000000000}"/>
    <hyperlink ref="F3" r:id="rId2" xr:uid="{00000000-0004-0000-0100-000001000000}"/>
    <hyperlink ref="F8" r:id="rId3" xr:uid="{00000000-0004-0000-0100-000002000000}"/>
    <hyperlink ref="F9" r:id="rId4" xr:uid="{00000000-0004-0000-0100-000003000000}"/>
    <hyperlink ref="F11" r:id="rId5" xr:uid="{00000000-0004-0000-0100-000004000000}"/>
    <hyperlink ref="F12" r:id="rId6" xr:uid="{00000000-0004-0000-0100-000005000000}"/>
    <hyperlink ref="F13" r:id="rId7" xr:uid="{00000000-0004-0000-0100-000006000000}"/>
    <hyperlink ref="F14" r:id="rId8" xr:uid="{00000000-0004-0000-0100-000007000000}"/>
    <hyperlink ref="F19" r:id="rId9" xr:uid="{00000000-0004-0000-0100-000008000000}"/>
    <hyperlink ref="F24" r:id="rId10" xr:uid="{00000000-0004-0000-0100-000009000000}"/>
    <hyperlink ref="F6" r:id="rId11" xr:uid="{00000000-0004-0000-0100-00000A000000}"/>
    <hyperlink ref="F26" r:id="rId12" xr:uid="{00000000-0004-0000-0100-00000B000000}"/>
    <hyperlink ref="F27" r:id="rId13" xr:uid="{00000000-0004-0000-0100-00000C000000}"/>
    <hyperlink ref="F28" r:id="rId14" xr:uid="{00000000-0004-0000-0100-00000D000000}"/>
    <hyperlink ref="F30" r:id="rId15" xr:uid="{00000000-0004-0000-0100-00000E000000}"/>
    <hyperlink ref="F38" r:id="rId16" xr:uid="{00000000-0004-0000-0100-00000F000000}"/>
    <hyperlink ref="F34" r:id="rId17" xr:uid="{00000000-0004-0000-0100-000010000000}"/>
  </hyperlinks>
  <pageMargins left="0.25" right="0.25" top="0.75" bottom="0.75" header="0.3" footer="0.3"/>
  <pageSetup paperSize="9" scale="6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239"/>
  <sheetViews>
    <sheetView showGridLines="0" showRuler="0" topLeftCell="T1" zoomScale="70" zoomScaleNormal="70" workbookViewId="0">
      <selection activeCell="AX1" sqref="AX1:BJ1048576"/>
    </sheetView>
  </sheetViews>
  <sheetFormatPr defaultColWidth="9.125" defaultRowHeight="19.149999999999999" customHeight="1" outlineLevelCol="1"/>
  <cols>
    <col min="1" max="1" width="5.375" style="1" customWidth="1"/>
    <col min="2" max="5" width="30.625" style="1" customWidth="1" outlineLevel="1"/>
    <col min="6" max="6" width="37.625" style="1" customWidth="1" outlineLevel="1"/>
    <col min="7" max="7" width="19.625" style="1" customWidth="1" outlineLevel="1"/>
    <col min="8" max="8" width="15.125" style="1" customWidth="1" outlineLevel="1"/>
    <col min="9" max="50" width="9.125" customWidth="1"/>
    <col min="51" max="53" width="9.375" customWidth="1"/>
    <col min="54" max="54" width="11.125" customWidth="1"/>
    <col min="55" max="58" width="9.125" customWidth="1"/>
    <col min="59" max="62" width="9.125" style="2"/>
  </cols>
  <sheetData>
    <row r="1" spans="1:62" ht="19.149999999999999" customHeight="1">
      <c r="A1" s="647" t="s">
        <v>453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9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1"/>
      <c r="AP1" s="271"/>
      <c r="AQ1" s="271"/>
      <c r="AR1" s="271"/>
      <c r="AS1" s="271"/>
      <c r="AT1" s="271"/>
      <c r="AU1" s="271"/>
      <c r="AV1" s="271"/>
      <c r="AW1" s="272"/>
    </row>
    <row r="2" spans="1:62" ht="19.149999999999999" customHeight="1">
      <c r="A2" s="273" t="s">
        <v>356</v>
      </c>
      <c r="B2" s="274" t="s">
        <v>357</v>
      </c>
      <c r="C2" s="274" t="s">
        <v>358</v>
      </c>
      <c r="D2" s="274" t="s">
        <v>359</v>
      </c>
      <c r="E2" s="274" t="s">
        <v>360</v>
      </c>
      <c r="F2" s="274" t="s">
        <v>361</v>
      </c>
      <c r="G2" s="274" t="s">
        <v>362</v>
      </c>
      <c r="H2" s="134" t="s">
        <v>363</v>
      </c>
      <c r="I2" s="275">
        <v>45844</v>
      </c>
      <c r="J2" s="275">
        <f>I2+7</f>
        <v>45851</v>
      </c>
      <c r="K2" s="275">
        <f>J2+7</f>
        <v>45858</v>
      </c>
      <c r="L2" s="275">
        <f>K2+7</f>
        <v>45865</v>
      </c>
      <c r="M2" s="275">
        <v>45872</v>
      </c>
      <c r="N2" s="275">
        <v>45886</v>
      </c>
      <c r="O2" s="276">
        <v>45893</v>
      </c>
      <c r="P2" s="276">
        <v>45900</v>
      </c>
      <c r="Q2" s="276">
        <v>45907</v>
      </c>
      <c r="R2" s="276">
        <v>45914</v>
      </c>
      <c r="S2" s="276">
        <v>45921</v>
      </c>
      <c r="T2" s="276">
        <v>45928</v>
      </c>
      <c r="U2" s="276">
        <v>45935</v>
      </c>
      <c r="V2" s="276">
        <v>45942</v>
      </c>
      <c r="W2" s="276">
        <v>45949</v>
      </c>
      <c r="X2" s="276">
        <v>45956</v>
      </c>
      <c r="Y2" s="276">
        <v>45963</v>
      </c>
      <c r="Z2" s="276">
        <v>45970</v>
      </c>
      <c r="AA2" s="276">
        <v>45977</v>
      </c>
      <c r="AB2" s="276">
        <v>45984</v>
      </c>
      <c r="AC2" s="276">
        <v>45991</v>
      </c>
      <c r="AD2" s="276">
        <v>45998</v>
      </c>
      <c r="AE2" s="276">
        <v>46005</v>
      </c>
      <c r="AF2" s="276">
        <v>46012</v>
      </c>
      <c r="AG2" s="276">
        <v>46019</v>
      </c>
      <c r="AH2" s="276">
        <v>46033</v>
      </c>
      <c r="AI2" s="276">
        <v>46040</v>
      </c>
      <c r="AJ2" s="276">
        <v>46047</v>
      </c>
      <c r="AK2" s="276">
        <v>46054</v>
      </c>
      <c r="AL2" s="276">
        <v>46061</v>
      </c>
      <c r="AM2" s="275">
        <v>46068</v>
      </c>
      <c r="AN2" s="276">
        <v>46075</v>
      </c>
      <c r="AO2" s="276">
        <v>46082</v>
      </c>
      <c r="AP2" s="275">
        <v>46089</v>
      </c>
      <c r="AQ2" s="276">
        <v>46096</v>
      </c>
      <c r="AR2" s="276">
        <v>46103</v>
      </c>
      <c r="AS2" s="276">
        <v>46110</v>
      </c>
      <c r="AT2" s="277">
        <f>AS2+7</f>
        <v>46117</v>
      </c>
      <c r="AU2" s="277">
        <f t="shared" ref="AU2:AW2" si="0">AT2+7</f>
        <v>46124</v>
      </c>
      <c r="AV2" s="277">
        <f t="shared" si="0"/>
        <v>46131</v>
      </c>
      <c r="AW2" s="278">
        <f t="shared" si="0"/>
        <v>46138</v>
      </c>
      <c r="AX2" s="229">
        <v>46145</v>
      </c>
      <c r="AY2" s="229">
        <v>46152</v>
      </c>
      <c r="AZ2" s="229">
        <v>46159</v>
      </c>
      <c r="BA2" s="229">
        <v>46166</v>
      </c>
      <c r="BB2" s="229">
        <v>46173</v>
      </c>
      <c r="BC2" s="229">
        <v>46180</v>
      </c>
      <c r="BD2" s="279">
        <v>46187</v>
      </c>
      <c r="BE2" s="279">
        <f>BD2+7</f>
        <v>46194</v>
      </c>
      <c r="BF2" s="280">
        <f t="shared" ref="BF2:BG2" si="1">BE2+7</f>
        <v>46201</v>
      </c>
      <c r="BG2" s="230">
        <f t="shared" si="1"/>
        <v>46208</v>
      </c>
      <c r="BH2" s="230">
        <f t="shared" ref="BH2:BJ2" si="2">BG2+7</f>
        <v>46215</v>
      </c>
      <c r="BI2" s="230">
        <f t="shared" si="2"/>
        <v>46222</v>
      </c>
      <c r="BJ2" s="230">
        <f t="shared" si="2"/>
        <v>46229</v>
      </c>
    </row>
    <row r="3" spans="1:62" ht="19.149999999999999" customHeight="1">
      <c r="A3" s="281">
        <v>1</v>
      </c>
      <c r="B3" s="282" t="s">
        <v>454</v>
      </c>
      <c r="C3" s="282" t="s">
        <v>375</v>
      </c>
      <c r="D3" s="282" t="s">
        <v>367</v>
      </c>
      <c r="E3" s="282" t="s">
        <v>15</v>
      </c>
      <c r="F3" s="282" t="s">
        <v>16</v>
      </c>
      <c r="G3" s="283" t="s">
        <v>89</v>
      </c>
      <c r="H3" s="283" t="s">
        <v>90</v>
      </c>
      <c r="I3" s="284" t="s">
        <v>368</v>
      </c>
      <c r="J3" s="284" t="s">
        <v>368</v>
      </c>
      <c r="K3" s="284" t="s">
        <v>368</v>
      </c>
      <c r="L3" s="284"/>
      <c r="M3" s="284"/>
      <c r="N3" s="284" t="s">
        <v>368</v>
      </c>
      <c r="O3" s="285"/>
      <c r="P3" s="285" t="s">
        <v>368</v>
      </c>
      <c r="Q3" s="285" t="s">
        <v>368</v>
      </c>
      <c r="R3" s="285"/>
      <c r="S3" s="285" t="s">
        <v>368</v>
      </c>
      <c r="T3" s="285"/>
      <c r="U3" s="285" t="s">
        <v>368</v>
      </c>
      <c r="V3" s="285"/>
      <c r="W3" s="285" t="s">
        <v>368</v>
      </c>
      <c r="X3" s="285" t="s">
        <v>368</v>
      </c>
      <c r="Y3" s="285" t="s">
        <v>368</v>
      </c>
      <c r="Z3" s="285" t="s">
        <v>368</v>
      </c>
      <c r="AA3" s="285" t="s">
        <v>368</v>
      </c>
      <c r="AB3" s="284"/>
      <c r="AC3" s="284"/>
      <c r="AD3" s="286"/>
      <c r="AE3" s="285" t="s">
        <v>455</v>
      </c>
      <c r="AF3" s="285" t="s">
        <v>368</v>
      </c>
      <c r="AG3" s="285"/>
      <c r="AH3" s="285" t="s">
        <v>368</v>
      </c>
      <c r="AI3" s="285"/>
      <c r="AJ3" s="285" t="s">
        <v>368</v>
      </c>
      <c r="AK3" s="285" t="s">
        <v>368</v>
      </c>
      <c r="AL3" s="285"/>
      <c r="AM3" s="284" t="s">
        <v>368</v>
      </c>
      <c r="AN3" s="285" t="s">
        <v>368</v>
      </c>
      <c r="AO3" s="285" t="s">
        <v>368</v>
      </c>
      <c r="AP3" s="284" t="s">
        <v>368</v>
      </c>
      <c r="AQ3" s="285" t="s">
        <v>368</v>
      </c>
      <c r="AR3" s="285"/>
      <c r="AS3" s="285"/>
      <c r="AT3" s="287" t="s">
        <v>370</v>
      </c>
      <c r="AU3" s="287" t="s">
        <v>370</v>
      </c>
      <c r="AV3" s="287" t="s">
        <v>370</v>
      </c>
      <c r="AW3" s="288" t="s">
        <v>370</v>
      </c>
      <c r="AX3" s="285" t="s">
        <v>370</v>
      </c>
      <c r="AY3" s="285"/>
      <c r="AZ3" s="285"/>
      <c r="BA3" s="285"/>
      <c r="BB3" s="285"/>
      <c r="BC3" s="285"/>
      <c r="BD3" s="289"/>
      <c r="BE3" s="289"/>
      <c r="BF3" s="290"/>
      <c r="BG3" s="291"/>
      <c r="BH3" s="291"/>
      <c r="BI3" s="291" t="s">
        <v>370</v>
      </c>
      <c r="BJ3" s="291"/>
    </row>
    <row r="4" spans="1:62" ht="19.149999999999999" customHeight="1">
      <c r="A4" s="281">
        <f t="shared" ref="A4:A21" si="3">A3+1</f>
        <v>2</v>
      </c>
      <c r="B4" s="282" t="s">
        <v>456</v>
      </c>
      <c r="C4" s="282" t="s">
        <v>457</v>
      </c>
      <c r="D4" s="282" t="s">
        <v>367</v>
      </c>
      <c r="E4" s="282" t="s">
        <v>91</v>
      </c>
      <c r="F4" s="282" t="s">
        <v>92</v>
      </c>
      <c r="G4" s="283" t="s">
        <v>93</v>
      </c>
      <c r="H4" s="283" t="s">
        <v>90</v>
      </c>
      <c r="I4" s="284" t="s">
        <v>368</v>
      </c>
      <c r="J4" s="284" t="s">
        <v>368</v>
      </c>
      <c r="K4" s="284" t="s">
        <v>368</v>
      </c>
      <c r="L4" s="284" t="s">
        <v>368</v>
      </c>
      <c r="M4" s="284"/>
      <c r="N4" s="284" t="s">
        <v>368</v>
      </c>
      <c r="O4" s="285"/>
      <c r="P4" s="285"/>
      <c r="Q4" s="285" t="s">
        <v>368</v>
      </c>
      <c r="R4" s="285"/>
      <c r="S4" s="285" t="s">
        <v>368</v>
      </c>
      <c r="T4" s="285" t="s">
        <v>368</v>
      </c>
      <c r="U4" s="285"/>
      <c r="V4" s="285" t="s">
        <v>368</v>
      </c>
      <c r="W4" s="285" t="s">
        <v>368</v>
      </c>
      <c r="X4" s="285"/>
      <c r="Y4" s="285" t="s">
        <v>368</v>
      </c>
      <c r="Z4" s="285"/>
      <c r="AA4" s="285" t="s">
        <v>368</v>
      </c>
      <c r="AB4" s="284"/>
      <c r="AC4" s="284" t="s">
        <v>368</v>
      </c>
      <c r="AD4" s="285" t="s">
        <v>368</v>
      </c>
      <c r="AE4" s="285" t="s">
        <v>368</v>
      </c>
      <c r="AF4" s="285" t="s">
        <v>368</v>
      </c>
      <c r="AG4" s="285"/>
      <c r="AH4" s="285" t="s">
        <v>368</v>
      </c>
      <c r="AI4" s="285" t="s">
        <v>368</v>
      </c>
      <c r="AJ4" s="285"/>
      <c r="AK4" s="285" t="s">
        <v>368</v>
      </c>
      <c r="AL4" s="285" t="s">
        <v>368</v>
      </c>
      <c r="AM4" s="284" t="s">
        <v>368</v>
      </c>
      <c r="AN4" s="285" t="s">
        <v>368</v>
      </c>
      <c r="AO4" s="285" t="s">
        <v>368</v>
      </c>
      <c r="AP4" s="284" t="s">
        <v>368</v>
      </c>
      <c r="AQ4" s="285" t="s">
        <v>368</v>
      </c>
      <c r="AR4" s="285" t="s">
        <v>368</v>
      </c>
      <c r="AS4" s="285"/>
      <c r="AT4" s="287" t="s">
        <v>370</v>
      </c>
      <c r="AU4" s="287" t="s">
        <v>370</v>
      </c>
      <c r="AV4" s="287" t="s">
        <v>370</v>
      </c>
      <c r="AW4" s="288" t="s">
        <v>370</v>
      </c>
      <c r="AX4" s="285" t="s">
        <v>370</v>
      </c>
      <c r="AY4" s="285"/>
      <c r="AZ4" s="285" t="s">
        <v>370</v>
      </c>
      <c r="BA4" s="285" t="s">
        <v>370</v>
      </c>
      <c r="BB4" s="285"/>
      <c r="BC4" s="285"/>
      <c r="BD4" s="289"/>
      <c r="BE4" s="289" t="s">
        <v>370</v>
      </c>
      <c r="BF4" s="290"/>
      <c r="BG4" s="291" t="s">
        <v>370</v>
      </c>
      <c r="BH4" s="291" t="s">
        <v>370</v>
      </c>
      <c r="BI4" s="291" t="s">
        <v>370</v>
      </c>
      <c r="BJ4" s="291"/>
    </row>
    <row r="5" spans="1:62" ht="19.149999999999999" customHeight="1">
      <c r="A5" s="281">
        <f t="shared" si="3"/>
        <v>3</v>
      </c>
      <c r="B5" s="283" t="s">
        <v>458</v>
      </c>
      <c r="C5" s="283" t="s">
        <v>459</v>
      </c>
      <c r="D5" s="283" t="s">
        <v>367</v>
      </c>
      <c r="E5" s="292" t="s">
        <v>94</v>
      </c>
      <c r="F5" s="293" t="s">
        <v>95</v>
      </c>
      <c r="G5" s="293" t="s">
        <v>96</v>
      </c>
      <c r="H5" s="283" t="s">
        <v>90</v>
      </c>
      <c r="I5" s="284" t="s">
        <v>368</v>
      </c>
      <c r="J5" s="284" t="s">
        <v>368</v>
      </c>
      <c r="K5" s="284"/>
      <c r="L5" s="284" t="s">
        <v>368</v>
      </c>
      <c r="M5" s="284"/>
      <c r="N5" s="284" t="s">
        <v>368</v>
      </c>
      <c r="O5" s="285"/>
      <c r="P5" s="285" t="s">
        <v>368</v>
      </c>
      <c r="Q5" s="294"/>
      <c r="R5" s="285"/>
      <c r="S5" s="285" t="s">
        <v>368</v>
      </c>
      <c r="T5" s="285" t="s">
        <v>368</v>
      </c>
      <c r="U5" s="285" t="s">
        <v>368</v>
      </c>
      <c r="V5" s="285" t="s">
        <v>368</v>
      </c>
      <c r="W5" s="285" t="s">
        <v>368</v>
      </c>
      <c r="X5" s="285" t="s">
        <v>368</v>
      </c>
      <c r="Y5" s="285"/>
      <c r="Z5" s="285" t="s">
        <v>368</v>
      </c>
      <c r="AA5" s="285" t="s">
        <v>368</v>
      </c>
      <c r="AB5" s="284"/>
      <c r="AC5" s="284" t="s">
        <v>368</v>
      </c>
      <c r="AD5" s="285" t="s">
        <v>368</v>
      </c>
      <c r="AE5" s="285" t="s">
        <v>460</v>
      </c>
      <c r="AF5" s="285" t="s">
        <v>368</v>
      </c>
      <c r="AG5" s="285"/>
      <c r="AH5" s="285" t="s">
        <v>368</v>
      </c>
      <c r="AI5" s="285" t="s">
        <v>368</v>
      </c>
      <c r="AJ5" s="285" t="s">
        <v>368</v>
      </c>
      <c r="AK5" s="285"/>
      <c r="AL5" s="285" t="s">
        <v>368</v>
      </c>
      <c r="AM5" s="284"/>
      <c r="AN5" s="285" t="s">
        <v>368</v>
      </c>
      <c r="AO5" s="285" t="s">
        <v>368</v>
      </c>
      <c r="AP5" s="284" t="s">
        <v>368</v>
      </c>
      <c r="AQ5" s="285" t="s">
        <v>368</v>
      </c>
      <c r="AR5" s="285" t="s">
        <v>368</v>
      </c>
      <c r="AS5" s="285"/>
      <c r="AT5" s="287" t="s">
        <v>370</v>
      </c>
      <c r="AU5" s="287" t="s">
        <v>370</v>
      </c>
      <c r="AV5" s="287" t="s">
        <v>370</v>
      </c>
      <c r="AW5" s="288" t="s">
        <v>370</v>
      </c>
      <c r="AX5" s="285" t="s">
        <v>370</v>
      </c>
      <c r="AY5" s="285"/>
      <c r="AZ5" s="285" t="s">
        <v>370</v>
      </c>
      <c r="BA5" s="285" t="s">
        <v>370</v>
      </c>
      <c r="BB5" s="285" t="s">
        <v>370</v>
      </c>
      <c r="BC5" s="285"/>
      <c r="BD5" s="289" t="s">
        <v>370</v>
      </c>
      <c r="BE5" s="289" t="s">
        <v>370</v>
      </c>
      <c r="BF5" s="290" t="s">
        <v>370</v>
      </c>
      <c r="BG5" s="291"/>
      <c r="BH5" s="291" t="s">
        <v>370</v>
      </c>
      <c r="BI5" s="291" t="s">
        <v>370</v>
      </c>
      <c r="BJ5" s="291"/>
    </row>
    <row r="6" spans="1:62" ht="19.149999999999999" customHeight="1">
      <c r="A6" s="281">
        <f t="shared" si="3"/>
        <v>4</v>
      </c>
      <c r="B6" s="295" t="s">
        <v>461</v>
      </c>
      <c r="C6" s="295" t="s">
        <v>462</v>
      </c>
      <c r="D6" s="295" t="s">
        <v>367</v>
      </c>
      <c r="E6" s="295" t="s">
        <v>98</v>
      </c>
      <c r="F6" s="296" t="s">
        <v>99</v>
      </c>
      <c r="G6" s="297" t="s">
        <v>100</v>
      </c>
      <c r="H6" s="298" t="s">
        <v>90</v>
      </c>
      <c r="I6" s="299"/>
      <c r="J6" s="299"/>
      <c r="K6" s="299"/>
      <c r="L6" s="299" t="s">
        <v>368</v>
      </c>
      <c r="M6" s="299"/>
      <c r="N6" s="284" t="s">
        <v>368</v>
      </c>
      <c r="O6" s="300" t="s">
        <v>368</v>
      </c>
      <c r="P6" s="285"/>
      <c r="Q6" s="285" t="s">
        <v>368</v>
      </c>
      <c r="R6" s="285"/>
      <c r="S6" s="285"/>
      <c r="T6" s="285"/>
      <c r="U6" s="285"/>
      <c r="V6" s="285"/>
      <c r="W6" s="285" t="s">
        <v>368</v>
      </c>
      <c r="X6" s="285"/>
      <c r="Y6" s="285"/>
      <c r="Z6" s="285"/>
      <c r="AA6" s="285"/>
      <c r="AB6" s="284"/>
      <c r="AC6" s="284"/>
      <c r="AD6" s="285"/>
      <c r="AE6" s="285"/>
      <c r="AF6" s="285"/>
      <c r="AG6" s="285"/>
      <c r="AH6" s="285"/>
      <c r="AI6" s="285"/>
      <c r="AJ6" s="285"/>
      <c r="AK6" s="285"/>
      <c r="AL6" s="285"/>
      <c r="AM6" s="284"/>
      <c r="AN6" s="285"/>
      <c r="AO6" s="285"/>
      <c r="AP6" s="284"/>
      <c r="AQ6" s="285"/>
      <c r="AR6" s="285"/>
      <c r="AS6" s="285"/>
      <c r="AT6" s="287"/>
      <c r="AU6" s="287"/>
      <c r="AV6" s="287"/>
      <c r="AW6" s="288"/>
      <c r="AX6" s="285"/>
      <c r="AY6" s="285"/>
      <c r="AZ6" s="285"/>
      <c r="BA6" s="285"/>
      <c r="BB6" s="285"/>
      <c r="BC6" s="285"/>
      <c r="BD6" s="289"/>
      <c r="BE6" s="289"/>
      <c r="BF6" s="290"/>
      <c r="BG6" s="291"/>
      <c r="BH6" s="301"/>
      <c r="BI6" s="291"/>
      <c r="BJ6" s="291"/>
    </row>
    <row r="7" spans="1:62" ht="19.149999999999999" customHeight="1">
      <c r="A7" s="281">
        <f t="shared" si="3"/>
        <v>5</v>
      </c>
      <c r="B7" s="302" t="s">
        <v>463</v>
      </c>
      <c r="C7" s="302" t="s">
        <v>372</v>
      </c>
      <c r="D7" s="302" t="s">
        <v>378</v>
      </c>
      <c r="E7" s="302" t="s">
        <v>12</v>
      </c>
      <c r="F7" s="302" t="s">
        <v>13</v>
      </c>
      <c r="G7" s="302" t="s">
        <v>101</v>
      </c>
      <c r="H7" s="303" t="s">
        <v>90</v>
      </c>
      <c r="I7" s="304"/>
      <c r="J7" s="305"/>
      <c r="K7" s="305"/>
      <c r="L7" s="304" t="s">
        <v>368</v>
      </c>
      <c r="M7" s="304"/>
      <c r="N7" s="304" t="s">
        <v>368</v>
      </c>
      <c r="O7" s="305"/>
      <c r="P7" s="285"/>
      <c r="Q7" s="285"/>
      <c r="R7" s="285"/>
      <c r="S7" s="285"/>
      <c r="T7" s="285"/>
      <c r="U7" s="285" t="s">
        <v>368</v>
      </c>
      <c r="V7" s="285"/>
      <c r="W7" s="285"/>
      <c r="X7" s="285"/>
      <c r="Y7" s="285"/>
      <c r="Z7" s="285"/>
      <c r="AA7" s="285" t="s">
        <v>368</v>
      </c>
      <c r="AB7" s="284"/>
      <c r="AC7" s="284"/>
      <c r="AD7" s="285"/>
      <c r="AE7" s="285" t="s">
        <v>368</v>
      </c>
      <c r="AF7" s="285"/>
      <c r="AG7" s="285"/>
      <c r="AH7" s="285"/>
      <c r="AI7" s="285"/>
      <c r="AJ7" s="285"/>
      <c r="AK7" s="285"/>
      <c r="AL7" s="285"/>
      <c r="AM7" s="284"/>
      <c r="AN7" s="285"/>
      <c r="AO7" s="285"/>
      <c r="AP7" s="284"/>
      <c r="AQ7" s="285"/>
      <c r="AR7" s="285"/>
      <c r="AS7" s="285"/>
      <c r="AT7" s="287" t="s">
        <v>370</v>
      </c>
      <c r="AU7" s="287"/>
      <c r="AV7" s="287" t="s">
        <v>370</v>
      </c>
      <c r="AW7" s="288" t="s">
        <v>370</v>
      </c>
      <c r="AX7" s="285"/>
      <c r="AY7" s="285"/>
      <c r="AZ7" s="285" t="s">
        <v>370</v>
      </c>
      <c r="BA7" s="285"/>
      <c r="BB7" s="285" t="s">
        <v>370</v>
      </c>
      <c r="BC7" s="285" t="s">
        <v>370</v>
      </c>
      <c r="BD7" s="289" t="s">
        <v>370</v>
      </c>
      <c r="BE7" s="289" t="s">
        <v>370</v>
      </c>
      <c r="BF7" s="290" t="s">
        <v>370</v>
      </c>
      <c r="BG7" s="291" t="s">
        <v>370</v>
      </c>
      <c r="BH7" s="291" t="s">
        <v>370</v>
      </c>
      <c r="BI7" s="291"/>
      <c r="BJ7" s="291"/>
    </row>
    <row r="8" spans="1:62" ht="19.149999999999999" customHeight="1">
      <c r="A8" s="281">
        <f t="shared" si="3"/>
        <v>6</v>
      </c>
      <c r="B8" s="292" t="s">
        <v>464</v>
      </c>
      <c r="C8" s="292" t="s">
        <v>465</v>
      </c>
      <c r="D8" s="292" t="s">
        <v>367</v>
      </c>
      <c r="E8" s="292" t="s">
        <v>102</v>
      </c>
      <c r="F8" s="306" t="s">
        <v>103</v>
      </c>
      <c r="G8" s="544" t="s">
        <v>104</v>
      </c>
      <c r="H8" s="303" t="s">
        <v>90</v>
      </c>
      <c r="I8" s="304"/>
      <c r="J8" s="304"/>
      <c r="K8" s="304"/>
      <c r="L8" s="304"/>
      <c r="M8" s="304"/>
      <c r="N8" s="304" t="s">
        <v>368</v>
      </c>
      <c r="O8" s="305"/>
      <c r="P8" s="285" t="s">
        <v>368</v>
      </c>
      <c r="Q8" s="285" t="s">
        <v>368</v>
      </c>
      <c r="R8" s="285"/>
      <c r="S8" s="285"/>
      <c r="T8" s="285"/>
      <c r="U8" s="285"/>
      <c r="V8" s="285"/>
      <c r="W8" s="285"/>
      <c r="X8" s="285"/>
      <c r="Y8" s="285"/>
      <c r="Z8" s="285"/>
      <c r="AA8" s="285"/>
      <c r="AB8" s="284"/>
      <c r="AC8" s="284"/>
      <c r="AD8" s="285"/>
      <c r="AE8" s="285"/>
      <c r="AF8" s="285"/>
      <c r="AG8" s="285"/>
      <c r="AH8" s="285"/>
      <c r="AI8" s="285"/>
      <c r="AJ8" s="285"/>
      <c r="AK8" s="285"/>
      <c r="AL8" s="285"/>
      <c r="AM8" s="284"/>
      <c r="AN8" s="285"/>
      <c r="AO8" s="285"/>
      <c r="AP8" s="284"/>
      <c r="AQ8" s="285"/>
      <c r="AR8" s="285"/>
      <c r="AS8" s="285"/>
      <c r="AT8" s="287"/>
      <c r="AU8" s="287"/>
      <c r="AV8" s="287"/>
      <c r="AW8" s="288"/>
      <c r="AX8" s="285"/>
      <c r="AY8" s="285"/>
      <c r="AZ8" s="285"/>
      <c r="BA8" s="285"/>
      <c r="BB8" s="285"/>
      <c r="BC8" s="285"/>
      <c r="BD8" s="289"/>
      <c r="BE8" s="289"/>
      <c r="BF8" s="290"/>
      <c r="BG8" s="291"/>
      <c r="BH8" s="291"/>
      <c r="BI8" s="291"/>
      <c r="BJ8" s="291"/>
    </row>
    <row r="9" spans="1:62" ht="19.149999999999999" customHeight="1">
      <c r="A9" s="281">
        <f t="shared" si="3"/>
        <v>7</v>
      </c>
      <c r="B9" s="292" t="s">
        <v>466</v>
      </c>
      <c r="C9" s="292" t="s">
        <v>465</v>
      </c>
      <c r="D9" s="292" t="s">
        <v>378</v>
      </c>
      <c r="E9" s="292" t="s">
        <v>102</v>
      </c>
      <c r="F9" s="306" t="s">
        <v>103</v>
      </c>
      <c r="G9" s="544" t="s">
        <v>104</v>
      </c>
      <c r="H9" s="303" t="s">
        <v>90</v>
      </c>
      <c r="I9" s="284"/>
      <c r="J9" s="284"/>
      <c r="K9" s="284"/>
      <c r="L9" s="284"/>
      <c r="M9" s="284"/>
      <c r="N9" s="307" t="s">
        <v>368</v>
      </c>
      <c r="O9" s="285"/>
      <c r="P9" s="285"/>
      <c r="Q9" s="285" t="s">
        <v>368</v>
      </c>
      <c r="R9" s="285"/>
      <c r="S9" s="285" t="s">
        <v>368</v>
      </c>
      <c r="T9" s="285"/>
      <c r="U9" s="285"/>
      <c r="V9" s="285"/>
      <c r="W9" s="285"/>
      <c r="X9" s="285"/>
      <c r="Y9" s="285"/>
      <c r="Z9" s="285"/>
      <c r="AA9" s="285"/>
      <c r="AB9" s="284"/>
      <c r="AC9" s="284"/>
      <c r="AD9" s="285"/>
      <c r="AE9" s="285"/>
      <c r="AF9" s="285"/>
      <c r="AG9" s="285"/>
      <c r="AH9" s="285"/>
      <c r="AI9" s="285"/>
      <c r="AJ9" s="285"/>
      <c r="AK9" s="285"/>
      <c r="AL9" s="285"/>
      <c r="AM9" s="284"/>
      <c r="AN9" s="285"/>
      <c r="AO9" s="285"/>
      <c r="AP9" s="284"/>
      <c r="AQ9" s="285"/>
      <c r="AR9" s="285"/>
      <c r="AS9" s="285"/>
      <c r="AT9" s="287"/>
      <c r="AU9" s="287"/>
      <c r="AV9" s="287"/>
      <c r="AW9" s="288"/>
      <c r="AX9" s="285"/>
      <c r="AY9" s="285"/>
      <c r="AZ9" s="285"/>
      <c r="BA9" s="285"/>
      <c r="BB9" s="285"/>
      <c r="BC9" s="285"/>
      <c r="BD9" s="289"/>
      <c r="BE9" s="289"/>
      <c r="BF9" s="290"/>
      <c r="BG9" s="291"/>
      <c r="BH9" s="291"/>
      <c r="BI9" s="291"/>
      <c r="BJ9" s="291"/>
    </row>
    <row r="10" spans="1:62" ht="19.149999999999999" customHeight="1">
      <c r="A10" s="281">
        <f t="shared" si="3"/>
        <v>8</v>
      </c>
      <c r="B10" s="308" t="s">
        <v>467</v>
      </c>
      <c r="C10" s="308" t="s">
        <v>468</v>
      </c>
      <c r="D10" s="308" t="s">
        <v>373</v>
      </c>
      <c r="E10" s="308" t="s">
        <v>105</v>
      </c>
      <c r="F10" s="309" t="s">
        <v>106</v>
      </c>
      <c r="G10" s="308" t="s">
        <v>107</v>
      </c>
      <c r="H10" s="303" t="s">
        <v>90</v>
      </c>
      <c r="I10" s="310"/>
      <c r="J10" s="310"/>
      <c r="K10" s="310"/>
      <c r="L10" s="310" t="s">
        <v>368</v>
      </c>
      <c r="M10" s="310"/>
      <c r="N10" s="311" t="s">
        <v>368</v>
      </c>
      <c r="O10" s="312" t="s">
        <v>368</v>
      </c>
      <c r="P10" s="312" t="s">
        <v>368</v>
      </c>
      <c r="Q10" s="285" t="s">
        <v>368</v>
      </c>
      <c r="R10" s="285"/>
      <c r="S10" s="285"/>
      <c r="T10" s="285" t="s">
        <v>368</v>
      </c>
      <c r="U10" s="285" t="s">
        <v>368</v>
      </c>
      <c r="V10" s="285" t="s">
        <v>368</v>
      </c>
      <c r="W10" s="285" t="s">
        <v>368</v>
      </c>
      <c r="X10" s="285" t="s">
        <v>368</v>
      </c>
      <c r="Y10" s="285" t="s">
        <v>368</v>
      </c>
      <c r="Z10" s="285" t="s">
        <v>368</v>
      </c>
      <c r="AA10" s="285" t="s">
        <v>368</v>
      </c>
      <c r="AB10" s="284"/>
      <c r="AC10" s="284" t="s">
        <v>368</v>
      </c>
      <c r="AD10" s="285" t="s">
        <v>368</v>
      </c>
      <c r="AE10" s="285" t="s">
        <v>368</v>
      </c>
      <c r="AF10" s="285" t="s">
        <v>368</v>
      </c>
      <c r="AG10" s="285"/>
      <c r="AH10" s="285" t="s">
        <v>368</v>
      </c>
      <c r="AI10" s="285" t="s">
        <v>368</v>
      </c>
      <c r="AJ10" s="285" t="s">
        <v>368</v>
      </c>
      <c r="AK10" s="285" t="s">
        <v>368</v>
      </c>
      <c r="AL10" s="285" t="s">
        <v>368</v>
      </c>
      <c r="AM10" s="284" t="s">
        <v>368</v>
      </c>
      <c r="AN10" s="285" t="s">
        <v>368</v>
      </c>
      <c r="AO10" s="285" t="s">
        <v>368</v>
      </c>
      <c r="AP10" s="284" t="s">
        <v>368</v>
      </c>
      <c r="AQ10" s="285" t="s">
        <v>368</v>
      </c>
      <c r="AR10" s="285" t="s">
        <v>368</v>
      </c>
      <c r="AS10" s="285"/>
      <c r="AT10" s="287" t="s">
        <v>370</v>
      </c>
      <c r="AU10" s="287" t="s">
        <v>370</v>
      </c>
      <c r="AV10" s="287"/>
      <c r="AW10" s="288" t="s">
        <v>370</v>
      </c>
      <c r="AX10" s="285" t="s">
        <v>370</v>
      </c>
      <c r="AY10" s="285"/>
      <c r="AZ10" s="285" t="s">
        <v>370</v>
      </c>
      <c r="BA10" s="285"/>
      <c r="BB10" s="285"/>
      <c r="BC10" s="285"/>
      <c r="BD10" s="289"/>
      <c r="BE10" s="289"/>
      <c r="BF10" s="290"/>
      <c r="BG10" s="291"/>
      <c r="BH10" s="291"/>
      <c r="BI10" s="291" t="s">
        <v>370</v>
      </c>
      <c r="BJ10" s="291"/>
    </row>
    <row r="11" spans="1:62" ht="19.149999999999999" customHeight="1">
      <c r="A11" s="281">
        <f t="shared" si="3"/>
        <v>9</v>
      </c>
      <c r="B11" s="292" t="s">
        <v>469</v>
      </c>
      <c r="C11" s="292" t="s">
        <v>413</v>
      </c>
      <c r="D11" s="292" t="s">
        <v>378</v>
      </c>
      <c r="E11" s="292" t="s">
        <v>111</v>
      </c>
      <c r="F11" s="293" t="s">
        <v>112</v>
      </c>
      <c r="G11" s="292" t="s">
        <v>113</v>
      </c>
      <c r="H11" s="303" t="s">
        <v>90</v>
      </c>
      <c r="I11" s="284"/>
      <c r="J11" s="284"/>
      <c r="K11" s="284"/>
      <c r="L11" s="284"/>
      <c r="M11" s="284"/>
      <c r="N11" s="313"/>
      <c r="O11" s="312" t="s">
        <v>368</v>
      </c>
      <c r="P11" s="285"/>
      <c r="Q11" s="285" t="s">
        <v>368</v>
      </c>
      <c r="R11" s="285"/>
      <c r="S11" s="285"/>
      <c r="T11" s="285" t="s">
        <v>368</v>
      </c>
      <c r="U11" s="285"/>
      <c r="V11" s="285" t="s">
        <v>368</v>
      </c>
      <c r="W11" s="285" t="s">
        <v>368</v>
      </c>
      <c r="X11" s="285" t="s">
        <v>368</v>
      </c>
      <c r="Y11" s="285" t="s">
        <v>368</v>
      </c>
      <c r="Z11" s="285" t="s">
        <v>368</v>
      </c>
      <c r="AA11" s="285" t="s">
        <v>368</v>
      </c>
      <c r="AB11" s="284"/>
      <c r="AC11" s="284"/>
      <c r="AD11" s="285" t="s">
        <v>368</v>
      </c>
      <c r="AE11" s="285" t="s">
        <v>368</v>
      </c>
      <c r="AF11" s="285" t="s">
        <v>368</v>
      </c>
      <c r="AG11" s="285"/>
      <c r="AH11" s="285" t="s">
        <v>368</v>
      </c>
      <c r="AI11" s="285" t="s">
        <v>368</v>
      </c>
      <c r="AJ11" s="285"/>
      <c r="AK11" s="285" t="s">
        <v>368</v>
      </c>
      <c r="AL11" s="285" t="s">
        <v>368</v>
      </c>
      <c r="AM11" s="284"/>
      <c r="AN11" s="285"/>
      <c r="AO11" s="285" t="s">
        <v>368</v>
      </c>
      <c r="AP11" s="284" t="s">
        <v>368</v>
      </c>
      <c r="AQ11" s="285"/>
      <c r="AR11" s="285" t="s">
        <v>368</v>
      </c>
      <c r="AS11" s="285"/>
      <c r="AT11" s="287"/>
      <c r="AU11" s="287"/>
      <c r="AV11" s="287"/>
      <c r="AW11" s="288"/>
      <c r="AX11" s="285"/>
      <c r="AY11" s="285"/>
      <c r="AZ11" s="285" t="s">
        <v>370</v>
      </c>
      <c r="BA11" s="285" t="s">
        <v>370</v>
      </c>
      <c r="BB11" s="285"/>
      <c r="BC11" s="285" t="s">
        <v>370</v>
      </c>
      <c r="BD11" s="289" t="s">
        <v>370</v>
      </c>
      <c r="BE11" s="289" t="s">
        <v>370</v>
      </c>
      <c r="BF11" s="290" t="s">
        <v>370</v>
      </c>
      <c r="BG11" s="291" t="s">
        <v>370</v>
      </c>
      <c r="BH11" s="291" t="s">
        <v>370</v>
      </c>
      <c r="BI11" s="291" t="s">
        <v>370</v>
      </c>
      <c r="BJ11" s="291"/>
    </row>
    <row r="12" spans="1:62" ht="19.149999999999999" customHeight="1">
      <c r="A12" s="281">
        <f t="shared" si="3"/>
        <v>10</v>
      </c>
      <c r="B12" s="292" t="s">
        <v>470</v>
      </c>
      <c r="C12" s="292" t="s">
        <v>471</v>
      </c>
      <c r="D12" s="292" t="s">
        <v>367</v>
      </c>
      <c r="E12" s="292" t="s">
        <v>114</v>
      </c>
      <c r="F12" s="293" t="s">
        <v>115</v>
      </c>
      <c r="G12" s="293" t="s">
        <v>116</v>
      </c>
      <c r="H12" s="303" t="s">
        <v>90</v>
      </c>
      <c r="I12" s="284"/>
      <c r="J12" s="284"/>
      <c r="K12" s="284"/>
      <c r="L12" s="284"/>
      <c r="M12" s="284"/>
      <c r="N12" s="313"/>
      <c r="O12" s="312" t="s">
        <v>368</v>
      </c>
      <c r="P12" s="285"/>
      <c r="Q12" s="285"/>
      <c r="R12" s="285"/>
      <c r="S12" s="285"/>
      <c r="T12" s="285"/>
      <c r="U12" s="285"/>
      <c r="V12" s="285" t="s">
        <v>368</v>
      </c>
      <c r="W12" s="285"/>
      <c r="X12" s="285"/>
      <c r="Y12" s="285"/>
      <c r="Z12" s="285"/>
      <c r="AA12" s="285"/>
      <c r="AB12" s="284"/>
      <c r="AC12" s="284"/>
      <c r="AD12" s="285"/>
      <c r="AE12" s="285"/>
      <c r="AF12" s="285"/>
      <c r="AG12" s="285"/>
      <c r="AH12" s="285"/>
      <c r="AI12" s="285" t="s">
        <v>368</v>
      </c>
      <c r="AJ12" s="285"/>
      <c r="AK12" s="285"/>
      <c r="AL12" s="285"/>
      <c r="AM12" s="284"/>
      <c r="AN12" s="285"/>
      <c r="AO12" s="285"/>
      <c r="AP12" s="284"/>
      <c r="AQ12" s="285"/>
      <c r="AR12" s="285"/>
      <c r="AS12" s="285"/>
      <c r="AT12" s="287"/>
      <c r="AU12" s="287" t="s">
        <v>370</v>
      </c>
      <c r="AV12" s="287"/>
      <c r="AW12" s="288"/>
      <c r="AX12" s="285"/>
      <c r="AY12" s="285"/>
      <c r="AZ12" s="285"/>
      <c r="BA12" s="285"/>
      <c r="BB12" s="285"/>
      <c r="BC12" s="285"/>
      <c r="BD12" s="289"/>
      <c r="BE12" s="289"/>
      <c r="BF12" s="290"/>
      <c r="BG12" s="291"/>
      <c r="BH12" s="291"/>
      <c r="BI12" s="291"/>
      <c r="BJ12" s="291"/>
    </row>
    <row r="13" spans="1:62" ht="19.149999999999999" customHeight="1">
      <c r="A13" s="281">
        <f t="shared" si="3"/>
        <v>11</v>
      </c>
      <c r="B13" s="292" t="s">
        <v>472</v>
      </c>
      <c r="C13" s="292" t="s">
        <v>473</v>
      </c>
      <c r="D13" s="292" t="s">
        <v>367</v>
      </c>
      <c r="E13" s="292" t="s">
        <v>117</v>
      </c>
      <c r="F13" s="293" t="s">
        <v>118</v>
      </c>
      <c r="G13" s="292" t="s">
        <v>119</v>
      </c>
      <c r="H13" s="303" t="s">
        <v>90</v>
      </c>
      <c r="I13" s="284"/>
      <c r="J13" s="284"/>
      <c r="K13" s="284"/>
      <c r="L13" s="284"/>
      <c r="M13" s="284"/>
      <c r="N13" s="313"/>
      <c r="O13" s="312" t="s">
        <v>368</v>
      </c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  <c r="AA13" s="285"/>
      <c r="AB13" s="284"/>
      <c r="AC13" s="284"/>
      <c r="AD13" s="285"/>
      <c r="AE13" s="285"/>
      <c r="AF13" s="285"/>
      <c r="AG13" s="285"/>
      <c r="AH13" s="285"/>
      <c r="AI13" s="285"/>
      <c r="AJ13" s="285"/>
      <c r="AK13" s="285"/>
      <c r="AL13" s="285"/>
      <c r="AM13" s="284"/>
      <c r="AN13" s="285"/>
      <c r="AO13" s="285"/>
      <c r="AP13" s="284"/>
      <c r="AQ13" s="285"/>
      <c r="AR13" s="285"/>
      <c r="AS13" s="285"/>
      <c r="AT13" s="287"/>
      <c r="AU13" s="287"/>
      <c r="AV13" s="287"/>
      <c r="AW13" s="288"/>
      <c r="AX13" s="285"/>
      <c r="AY13" s="285"/>
      <c r="AZ13" s="285"/>
      <c r="BA13" s="285"/>
      <c r="BB13" s="285"/>
      <c r="BC13" s="285"/>
      <c r="BD13" s="289"/>
      <c r="BE13" s="289"/>
      <c r="BF13" s="290"/>
      <c r="BG13" s="291"/>
      <c r="BH13" s="291"/>
      <c r="BI13" s="291"/>
      <c r="BJ13" s="291"/>
    </row>
    <row r="14" spans="1:62" ht="19.149999999999999" customHeight="1">
      <c r="A14" s="281">
        <f t="shared" si="3"/>
        <v>12</v>
      </c>
      <c r="B14" s="292" t="s">
        <v>474</v>
      </c>
      <c r="C14" s="292" t="s">
        <v>475</v>
      </c>
      <c r="D14" s="292" t="s">
        <v>367</v>
      </c>
      <c r="E14" s="292" t="s">
        <v>120</v>
      </c>
      <c r="F14" s="293" t="s">
        <v>121</v>
      </c>
      <c r="G14" s="293" t="s">
        <v>122</v>
      </c>
      <c r="H14" s="303" t="s">
        <v>90</v>
      </c>
      <c r="I14" s="284"/>
      <c r="J14" s="284"/>
      <c r="K14" s="284"/>
      <c r="L14" s="284"/>
      <c r="M14" s="284"/>
      <c r="N14" s="313"/>
      <c r="O14" s="312" t="s">
        <v>368</v>
      </c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4"/>
      <c r="AC14" s="284"/>
      <c r="AD14" s="285"/>
      <c r="AE14" s="285"/>
      <c r="AF14" s="285"/>
      <c r="AG14" s="285"/>
      <c r="AH14" s="285"/>
      <c r="AI14" s="285"/>
      <c r="AJ14" s="285"/>
      <c r="AK14" s="285"/>
      <c r="AL14" s="285"/>
      <c r="AM14" s="284"/>
      <c r="AN14" s="285"/>
      <c r="AO14" s="285"/>
      <c r="AP14" s="284"/>
      <c r="AQ14" s="285"/>
      <c r="AR14" s="285"/>
      <c r="AS14" s="285"/>
      <c r="AT14" s="287"/>
      <c r="AU14" s="287"/>
      <c r="AV14" s="287"/>
      <c r="AW14" s="288"/>
      <c r="AX14" s="285"/>
      <c r="AY14" s="285"/>
      <c r="AZ14" s="285"/>
      <c r="BA14" s="285"/>
      <c r="BB14" s="285"/>
      <c r="BC14" s="285"/>
      <c r="BD14" s="289"/>
      <c r="BE14" s="289"/>
      <c r="BF14" s="290"/>
      <c r="BG14" s="291"/>
      <c r="BH14" s="291"/>
      <c r="BI14" s="291"/>
      <c r="BJ14" s="291"/>
    </row>
    <row r="15" spans="1:62" ht="19.149999999999999" customHeight="1">
      <c r="A15" s="281">
        <f t="shared" si="3"/>
        <v>13</v>
      </c>
      <c r="B15" s="292" t="s">
        <v>476</v>
      </c>
      <c r="C15" s="292" t="s">
        <v>471</v>
      </c>
      <c r="D15" s="292" t="s">
        <v>378</v>
      </c>
      <c r="E15" s="292" t="s">
        <v>123</v>
      </c>
      <c r="F15" s="293" t="s">
        <v>124</v>
      </c>
      <c r="G15" s="292" t="s">
        <v>125</v>
      </c>
      <c r="H15" s="303" t="s">
        <v>90</v>
      </c>
      <c r="I15" s="284"/>
      <c r="J15" s="284"/>
      <c r="K15" s="284"/>
      <c r="L15" s="284"/>
      <c r="M15" s="284"/>
      <c r="N15" s="313"/>
      <c r="O15" s="312" t="s">
        <v>368</v>
      </c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84"/>
      <c r="AC15" s="284"/>
      <c r="AD15" s="285"/>
      <c r="AE15" s="285"/>
      <c r="AF15" s="285"/>
      <c r="AG15" s="285"/>
      <c r="AH15" s="285"/>
      <c r="AI15" s="285"/>
      <c r="AJ15" s="285"/>
      <c r="AK15" s="285"/>
      <c r="AL15" s="285"/>
      <c r="AM15" s="284"/>
      <c r="AN15" s="285"/>
      <c r="AO15" s="285"/>
      <c r="AP15" s="284"/>
      <c r="AQ15" s="285"/>
      <c r="AR15" s="285"/>
      <c r="AS15" s="285"/>
      <c r="AT15" s="287"/>
      <c r="AU15" s="287"/>
      <c r="AV15" s="287"/>
      <c r="AW15" s="288"/>
      <c r="AX15" s="285"/>
      <c r="AY15" s="285"/>
      <c r="AZ15" s="285"/>
      <c r="BA15" s="285"/>
      <c r="BB15" s="285"/>
      <c r="BC15" s="285"/>
      <c r="BD15" s="289"/>
      <c r="BE15" s="289"/>
      <c r="BF15" s="290"/>
      <c r="BG15" s="291"/>
      <c r="BH15" s="291"/>
      <c r="BI15" s="291"/>
      <c r="BJ15" s="291"/>
    </row>
    <row r="16" spans="1:62" ht="19.149999999999999" customHeight="1">
      <c r="A16" s="281">
        <f t="shared" si="3"/>
        <v>14</v>
      </c>
      <c r="B16" s="302" t="s">
        <v>477</v>
      </c>
      <c r="C16" s="302" t="s">
        <v>478</v>
      </c>
      <c r="D16" s="302" t="s">
        <v>373</v>
      </c>
      <c r="E16" s="302" t="s">
        <v>126</v>
      </c>
      <c r="F16" s="302" t="s">
        <v>127</v>
      </c>
      <c r="G16" s="302" t="s">
        <v>128</v>
      </c>
      <c r="H16" s="303" t="s">
        <v>90</v>
      </c>
      <c r="I16" s="284" t="s">
        <v>368</v>
      </c>
      <c r="J16" s="284" t="s">
        <v>368</v>
      </c>
      <c r="K16" s="284"/>
      <c r="L16" s="284" t="s">
        <v>368</v>
      </c>
      <c r="M16" s="284"/>
      <c r="N16" s="307"/>
      <c r="O16" s="285"/>
      <c r="P16" s="285" t="s">
        <v>368</v>
      </c>
      <c r="Q16" s="285"/>
      <c r="R16" s="285"/>
      <c r="S16" s="285" t="s">
        <v>368</v>
      </c>
      <c r="T16" s="285" t="s">
        <v>368</v>
      </c>
      <c r="U16" s="285" t="s">
        <v>368</v>
      </c>
      <c r="V16" s="285" t="s">
        <v>368</v>
      </c>
      <c r="W16" s="285" t="s">
        <v>368</v>
      </c>
      <c r="X16" s="285" t="s">
        <v>368</v>
      </c>
      <c r="Y16" s="285" t="s">
        <v>368</v>
      </c>
      <c r="Z16" s="285"/>
      <c r="AA16" s="285" t="s">
        <v>368</v>
      </c>
      <c r="AB16" s="284"/>
      <c r="AC16" s="284" t="s">
        <v>368</v>
      </c>
      <c r="AD16" s="285" t="s">
        <v>368</v>
      </c>
      <c r="AE16" s="285" t="s">
        <v>368</v>
      </c>
      <c r="AF16" s="285" t="s">
        <v>368</v>
      </c>
      <c r="AG16" s="285"/>
      <c r="AH16" s="285"/>
      <c r="AI16" s="285" t="s">
        <v>368</v>
      </c>
      <c r="AJ16" s="285" t="s">
        <v>368</v>
      </c>
      <c r="AK16" s="285" t="s">
        <v>368</v>
      </c>
      <c r="AL16" s="285"/>
      <c r="AM16" s="284"/>
      <c r="AN16" s="285" t="s">
        <v>368</v>
      </c>
      <c r="AO16" s="285" t="s">
        <v>368</v>
      </c>
      <c r="AP16" s="284" t="s">
        <v>368</v>
      </c>
      <c r="AQ16" s="285" t="s">
        <v>368</v>
      </c>
      <c r="AR16" s="285" t="s">
        <v>368</v>
      </c>
      <c r="AS16" s="285"/>
      <c r="AT16" s="287" t="s">
        <v>370</v>
      </c>
      <c r="AU16" s="287" t="s">
        <v>370</v>
      </c>
      <c r="AV16" s="287"/>
      <c r="AW16" s="288" t="s">
        <v>370</v>
      </c>
      <c r="AX16" s="285" t="s">
        <v>370</v>
      </c>
      <c r="AY16" s="285"/>
      <c r="AZ16" s="285"/>
      <c r="BA16" s="285" t="s">
        <v>370</v>
      </c>
      <c r="BB16" s="285"/>
      <c r="BC16" s="285"/>
      <c r="BD16" s="289"/>
      <c r="BE16" s="289"/>
      <c r="BF16" s="290"/>
      <c r="BG16" s="291"/>
      <c r="BH16" s="291"/>
      <c r="BI16" s="291"/>
      <c r="BJ16" s="291"/>
    </row>
    <row r="17" spans="1:62" ht="19.149999999999999" customHeight="1">
      <c r="A17" s="281">
        <f t="shared" si="3"/>
        <v>15</v>
      </c>
      <c r="B17" s="292" t="s">
        <v>479</v>
      </c>
      <c r="C17" s="292" t="s">
        <v>480</v>
      </c>
      <c r="D17" s="292" t="s">
        <v>367</v>
      </c>
      <c r="E17" s="292" t="s">
        <v>129</v>
      </c>
      <c r="F17" s="293" t="s">
        <v>130</v>
      </c>
      <c r="G17" s="292" t="s">
        <v>131</v>
      </c>
      <c r="H17" s="303" t="s">
        <v>90</v>
      </c>
      <c r="I17" s="284"/>
      <c r="J17" s="284"/>
      <c r="K17" s="284"/>
      <c r="L17" s="284"/>
      <c r="M17" s="284"/>
      <c r="N17" s="313"/>
      <c r="O17" s="314" t="s">
        <v>368</v>
      </c>
      <c r="P17" s="285" t="s">
        <v>368</v>
      </c>
      <c r="Q17" s="285" t="s">
        <v>368</v>
      </c>
      <c r="R17" s="285"/>
      <c r="S17" s="285" t="s">
        <v>368</v>
      </c>
      <c r="T17" s="285" t="s">
        <v>368</v>
      </c>
      <c r="U17" s="285" t="s">
        <v>368</v>
      </c>
      <c r="V17" s="285"/>
      <c r="W17" s="285" t="s">
        <v>368</v>
      </c>
      <c r="X17" s="285" t="s">
        <v>368</v>
      </c>
      <c r="Y17" s="285" t="s">
        <v>368</v>
      </c>
      <c r="Z17" s="285"/>
      <c r="AA17" s="285" t="s">
        <v>368</v>
      </c>
      <c r="AB17" s="284"/>
      <c r="AC17" s="284" t="s">
        <v>368</v>
      </c>
      <c r="AD17" s="285" t="s">
        <v>368</v>
      </c>
      <c r="AE17" s="285" t="s">
        <v>368</v>
      </c>
      <c r="AF17" s="285" t="s">
        <v>368</v>
      </c>
      <c r="AG17" s="285"/>
      <c r="AH17" s="285" t="s">
        <v>368</v>
      </c>
      <c r="AI17" s="285" t="s">
        <v>368</v>
      </c>
      <c r="AJ17" s="285"/>
      <c r="AK17" s="285" t="s">
        <v>368</v>
      </c>
      <c r="AL17" s="285" t="s">
        <v>368</v>
      </c>
      <c r="AM17" s="284"/>
      <c r="AN17" s="285"/>
      <c r="AO17" s="285" t="s">
        <v>368</v>
      </c>
      <c r="AP17" s="284" t="s">
        <v>368</v>
      </c>
      <c r="AQ17" s="285" t="s">
        <v>368</v>
      </c>
      <c r="AR17" s="285"/>
      <c r="AS17" s="285"/>
      <c r="AT17" s="287" t="s">
        <v>370</v>
      </c>
      <c r="AU17" s="287" t="s">
        <v>370</v>
      </c>
      <c r="AV17" s="287" t="s">
        <v>370</v>
      </c>
      <c r="AW17" s="288" t="s">
        <v>370</v>
      </c>
      <c r="AX17" s="285"/>
      <c r="AY17" s="285"/>
      <c r="AZ17" s="285" t="s">
        <v>370</v>
      </c>
      <c r="BA17" s="285" t="s">
        <v>370</v>
      </c>
      <c r="BB17" s="285" t="s">
        <v>370</v>
      </c>
      <c r="BC17" s="285" t="s">
        <v>370</v>
      </c>
      <c r="BD17" s="289"/>
      <c r="BE17" s="289"/>
      <c r="BF17" s="290"/>
      <c r="BG17" s="291"/>
      <c r="BH17" s="291"/>
      <c r="BI17" s="291"/>
      <c r="BJ17" s="291"/>
    </row>
    <row r="18" spans="1:62" ht="19.149999999999999" customHeight="1">
      <c r="A18" s="281">
        <f t="shared" si="3"/>
        <v>16</v>
      </c>
      <c r="B18" s="292" t="s">
        <v>481</v>
      </c>
      <c r="C18" s="292" t="s">
        <v>482</v>
      </c>
      <c r="D18" s="292" t="s">
        <v>367</v>
      </c>
      <c r="E18" s="292" t="s">
        <v>132</v>
      </c>
      <c r="F18" s="293" t="s">
        <v>133</v>
      </c>
      <c r="G18" s="293" t="s">
        <v>134</v>
      </c>
      <c r="H18" s="303" t="s">
        <v>90</v>
      </c>
      <c r="I18" s="284"/>
      <c r="J18" s="284"/>
      <c r="K18" s="284"/>
      <c r="L18" s="284"/>
      <c r="M18" s="284"/>
      <c r="N18" s="315"/>
      <c r="O18" s="316" t="s">
        <v>368</v>
      </c>
      <c r="P18" s="285" t="s">
        <v>368</v>
      </c>
      <c r="Q18" s="285" t="s">
        <v>368</v>
      </c>
      <c r="R18" s="285"/>
      <c r="S18" s="285" t="s">
        <v>368</v>
      </c>
      <c r="T18" s="285" t="s">
        <v>368</v>
      </c>
      <c r="U18" s="285" t="s">
        <v>368</v>
      </c>
      <c r="V18" s="285"/>
      <c r="W18" s="285" t="s">
        <v>368</v>
      </c>
      <c r="X18" s="285" t="s">
        <v>368</v>
      </c>
      <c r="Y18" s="285" t="s">
        <v>368</v>
      </c>
      <c r="Z18" s="285"/>
      <c r="AA18" s="285" t="s">
        <v>368</v>
      </c>
      <c r="AB18" s="284"/>
      <c r="AC18" s="284" t="s">
        <v>368</v>
      </c>
      <c r="AD18" s="285" t="s">
        <v>368</v>
      </c>
      <c r="AE18" s="285" t="s">
        <v>368</v>
      </c>
      <c r="AF18" s="285"/>
      <c r="AG18" s="285"/>
      <c r="AH18" s="285" t="s">
        <v>368</v>
      </c>
      <c r="AI18" s="285" t="s">
        <v>369</v>
      </c>
      <c r="AJ18" s="285" t="s">
        <v>368</v>
      </c>
      <c r="AK18" s="285" t="s">
        <v>368</v>
      </c>
      <c r="AL18" s="285" t="s">
        <v>368</v>
      </c>
      <c r="AM18" s="284"/>
      <c r="AN18" s="285"/>
      <c r="AO18" s="285" t="s">
        <v>368</v>
      </c>
      <c r="AP18" s="284" t="s">
        <v>368</v>
      </c>
      <c r="AQ18" s="285" t="s">
        <v>368</v>
      </c>
      <c r="AR18" s="285" t="s">
        <v>368</v>
      </c>
      <c r="AS18" s="285"/>
      <c r="AT18" s="287" t="s">
        <v>370</v>
      </c>
      <c r="AU18" s="287" t="s">
        <v>370</v>
      </c>
      <c r="AV18" s="287" t="s">
        <v>370</v>
      </c>
      <c r="AW18" s="288" t="s">
        <v>370</v>
      </c>
      <c r="AX18" s="285" t="s">
        <v>370</v>
      </c>
      <c r="AY18" s="285"/>
      <c r="AZ18" s="285" t="s">
        <v>370</v>
      </c>
      <c r="BA18" s="285" t="s">
        <v>370</v>
      </c>
      <c r="BB18" s="285"/>
      <c r="BC18" s="285" t="s">
        <v>370</v>
      </c>
      <c r="BD18" s="289"/>
      <c r="BE18" s="289"/>
      <c r="BF18" s="290"/>
      <c r="BG18" s="291"/>
      <c r="BH18" s="291"/>
      <c r="BI18" s="291"/>
      <c r="BJ18" s="291"/>
    </row>
    <row r="19" spans="1:62" ht="19.149999999999999" customHeight="1">
      <c r="A19" s="281">
        <f t="shared" si="3"/>
        <v>17</v>
      </c>
      <c r="B19" s="292" t="s">
        <v>483</v>
      </c>
      <c r="C19" s="292" t="s">
        <v>396</v>
      </c>
      <c r="D19" s="292" t="s">
        <v>378</v>
      </c>
      <c r="E19" s="292" t="s">
        <v>40</v>
      </c>
      <c r="F19" s="293" t="s">
        <v>41</v>
      </c>
      <c r="G19" s="293" t="s">
        <v>42</v>
      </c>
      <c r="H19" s="303" t="s">
        <v>90</v>
      </c>
      <c r="I19" s="284"/>
      <c r="J19" s="284"/>
      <c r="K19" s="284"/>
      <c r="L19" s="284"/>
      <c r="M19" s="284"/>
      <c r="N19" s="307"/>
      <c r="O19" s="284"/>
      <c r="P19" s="285" t="s">
        <v>368</v>
      </c>
      <c r="Q19" s="305"/>
      <c r="R19" s="285"/>
      <c r="S19" s="285" t="s">
        <v>368</v>
      </c>
      <c r="T19" s="285"/>
      <c r="U19" s="285" t="s">
        <v>368</v>
      </c>
      <c r="V19" s="285"/>
      <c r="W19" s="285"/>
      <c r="X19" s="285" t="s">
        <v>368</v>
      </c>
      <c r="Y19" s="285"/>
      <c r="Z19" s="285"/>
      <c r="AA19" s="285"/>
      <c r="AB19" s="284"/>
      <c r="AC19" s="284"/>
      <c r="AD19" s="285"/>
      <c r="AE19" s="285"/>
      <c r="AF19" s="285"/>
      <c r="AG19" s="285"/>
      <c r="AH19" s="285"/>
      <c r="AI19" s="285"/>
      <c r="AJ19" s="285"/>
      <c r="AK19" s="285"/>
      <c r="AL19" s="285"/>
      <c r="AM19" s="284"/>
      <c r="AN19" s="285"/>
      <c r="AO19" s="285"/>
      <c r="AP19" s="284"/>
      <c r="AQ19" s="285"/>
      <c r="AR19" s="285"/>
      <c r="AS19" s="285"/>
      <c r="AT19" s="287"/>
      <c r="AU19" s="287"/>
      <c r="AV19" s="287"/>
      <c r="AW19" s="288"/>
      <c r="AX19" s="285"/>
      <c r="AY19" s="285"/>
      <c r="AZ19" s="285" t="s">
        <v>370</v>
      </c>
      <c r="BA19" s="285"/>
      <c r="BB19" s="285"/>
      <c r="BC19" s="285"/>
      <c r="BD19" s="289"/>
      <c r="BE19" s="289"/>
      <c r="BF19" s="290"/>
      <c r="BG19" s="291"/>
      <c r="BH19" s="291"/>
      <c r="BI19" s="291"/>
      <c r="BJ19" s="291"/>
    </row>
    <row r="20" spans="1:62" ht="19.149999999999999" customHeight="1">
      <c r="A20" s="281">
        <f t="shared" si="3"/>
        <v>18</v>
      </c>
      <c r="B20" s="292" t="s">
        <v>484</v>
      </c>
      <c r="C20" s="292" t="s">
        <v>388</v>
      </c>
      <c r="D20" s="292" t="s">
        <v>367</v>
      </c>
      <c r="E20" s="292" t="s">
        <v>135</v>
      </c>
      <c r="F20" s="306" t="s">
        <v>136</v>
      </c>
      <c r="G20" s="293" t="s">
        <v>137</v>
      </c>
      <c r="H20" s="303" t="s">
        <v>90</v>
      </c>
      <c r="I20" s="304"/>
      <c r="J20" s="304"/>
      <c r="K20" s="304"/>
      <c r="L20" s="304"/>
      <c r="M20" s="304"/>
      <c r="N20" s="317"/>
      <c r="O20" s="304"/>
      <c r="P20" s="305" t="s">
        <v>368</v>
      </c>
      <c r="Q20" s="305" t="s">
        <v>368</v>
      </c>
      <c r="R20" s="285"/>
      <c r="S20" s="285"/>
      <c r="T20" s="285"/>
      <c r="U20" s="285"/>
      <c r="V20" s="285" t="s">
        <v>368</v>
      </c>
      <c r="W20" s="285"/>
      <c r="X20" s="285"/>
      <c r="Y20" s="285" t="s">
        <v>368</v>
      </c>
      <c r="Z20" s="285"/>
      <c r="AA20" s="285"/>
      <c r="AB20" s="284"/>
      <c r="AC20" s="284"/>
      <c r="AD20" s="285"/>
      <c r="AE20" s="285"/>
      <c r="AF20" s="285"/>
      <c r="AG20" s="285"/>
      <c r="AH20" s="285"/>
      <c r="AI20" s="285"/>
      <c r="AJ20" s="285"/>
      <c r="AK20" s="285"/>
      <c r="AL20" s="285"/>
      <c r="AM20" s="284"/>
      <c r="AN20" s="285"/>
      <c r="AO20" s="285"/>
      <c r="AP20" s="284"/>
      <c r="AQ20" s="285"/>
      <c r="AR20" s="285"/>
      <c r="AS20" s="285"/>
      <c r="AT20" s="287"/>
      <c r="AU20" s="287"/>
      <c r="AV20" s="287"/>
      <c r="AW20" s="288"/>
      <c r="AX20" s="285"/>
      <c r="AY20" s="285"/>
      <c r="AZ20" s="285"/>
      <c r="BA20" s="285"/>
      <c r="BB20" s="285"/>
      <c r="BC20" s="285"/>
      <c r="BD20" s="289"/>
      <c r="BE20" s="289"/>
      <c r="BF20" s="290"/>
      <c r="BG20" s="291"/>
      <c r="BH20" s="291"/>
      <c r="BI20" s="291"/>
      <c r="BJ20" s="291"/>
    </row>
    <row r="21" spans="1:62" ht="19.149999999999999" customHeight="1">
      <c r="A21" s="281">
        <f t="shared" si="3"/>
        <v>19</v>
      </c>
      <c r="B21" s="292" t="s">
        <v>485</v>
      </c>
      <c r="C21" s="292" t="s">
        <v>400</v>
      </c>
      <c r="D21" s="292" t="s">
        <v>404</v>
      </c>
      <c r="E21" s="292" t="s">
        <v>46</v>
      </c>
      <c r="F21" s="318" t="s">
        <v>47</v>
      </c>
      <c r="G21" s="293" t="s">
        <v>48</v>
      </c>
      <c r="H21" s="303" t="s">
        <v>90</v>
      </c>
      <c r="I21" s="284"/>
      <c r="J21" s="284"/>
      <c r="K21" s="284"/>
      <c r="L21" s="284"/>
      <c r="M21" s="284"/>
      <c r="N21" s="284"/>
      <c r="O21" s="284"/>
      <c r="P21" s="284"/>
      <c r="Q21" s="285" t="s">
        <v>368</v>
      </c>
      <c r="R21" s="285"/>
      <c r="S21" s="285"/>
      <c r="T21" s="285" t="s">
        <v>368</v>
      </c>
      <c r="U21" s="285"/>
      <c r="V21" s="285"/>
      <c r="W21" s="285"/>
      <c r="X21" s="285" t="s">
        <v>368</v>
      </c>
      <c r="Y21" s="285"/>
      <c r="Z21" s="285"/>
      <c r="AA21" s="285"/>
      <c r="AB21" s="284"/>
      <c r="AC21" s="284"/>
      <c r="AD21" s="285" t="s">
        <v>368</v>
      </c>
      <c r="AE21" s="285" t="s">
        <v>97</v>
      </c>
      <c r="AF21" s="285" t="s">
        <v>368</v>
      </c>
      <c r="AG21" s="285"/>
      <c r="AH21" s="285"/>
      <c r="AI21" s="285"/>
      <c r="AJ21" s="285" t="s">
        <v>368</v>
      </c>
      <c r="AK21" s="285" t="s">
        <v>368</v>
      </c>
      <c r="AL21" s="285"/>
      <c r="AM21" s="284" t="s">
        <v>368</v>
      </c>
      <c r="AN21" s="285"/>
      <c r="AO21" s="285"/>
      <c r="AP21" s="284"/>
      <c r="AQ21" s="285" t="s">
        <v>368</v>
      </c>
      <c r="AR21" s="285"/>
      <c r="AS21" s="285"/>
      <c r="AT21" s="287"/>
      <c r="AU21" s="287"/>
      <c r="AV21" s="287"/>
      <c r="AW21" s="288"/>
      <c r="AX21" s="285" t="s">
        <v>370</v>
      </c>
      <c r="AY21" s="285"/>
      <c r="AZ21" s="285"/>
      <c r="BA21" s="285"/>
      <c r="BB21" s="285" t="s">
        <v>370</v>
      </c>
      <c r="BC21" s="285"/>
      <c r="BD21" s="289"/>
      <c r="BE21" s="289"/>
      <c r="BF21" s="290"/>
      <c r="BG21" s="291"/>
      <c r="BH21" s="291"/>
      <c r="BI21" s="291"/>
      <c r="BJ21" s="291"/>
    </row>
    <row r="22" spans="1:62" ht="19.149999999999999" customHeight="1">
      <c r="A22" s="281">
        <f>Trailblazers!A42+1</f>
        <v>41</v>
      </c>
      <c r="B22" s="292" t="s">
        <v>486</v>
      </c>
      <c r="C22" s="292" t="s">
        <v>487</v>
      </c>
      <c r="D22" s="292" t="s">
        <v>367</v>
      </c>
      <c r="E22" s="292" t="s">
        <v>139</v>
      </c>
      <c r="F22" s="293" t="s">
        <v>140</v>
      </c>
      <c r="G22" s="292" t="s">
        <v>141</v>
      </c>
      <c r="H22" s="319" t="s">
        <v>90</v>
      </c>
      <c r="I22" s="299"/>
      <c r="J22" s="299"/>
      <c r="K22" s="299"/>
      <c r="L22" s="299"/>
      <c r="M22" s="299"/>
      <c r="N22" s="299"/>
      <c r="O22" s="320" t="s">
        <v>368</v>
      </c>
      <c r="P22" s="300"/>
      <c r="Q22" s="305" t="s">
        <v>368</v>
      </c>
      <c r="R22" s="285"/>
      <c r="S22" s="285"/>
      <c r="T22" s="285"/>
      <c r="U22" s="285"/>
      <c r="V22" s="285"/>
      <c r="W22" s="285" t="s">
        <v>368</v>
      </c>
      <c r="X22" s="285"/>
      <c r="Y22" s="285"/>
      <c r="Z22" s="285"/>
      <c r="AA22" s="285"/>
      <c r="AB22" s="284"/>
      <c r="AC22" s="285"/>
      <c r="AD22" s="285"/>
      <c r="AE22" s="285"/>
      <c r="AF22" s="285"/>
      <c r="AG22" s="285"/>
      <c r="AH22" s="285"/>
      <c r="AI22" s="285"/>
      <c r="AJ22" s="285"/>
      <c r="AK22" s="285"/>
      <c r="AL22" s="285"/>
      <c r="AM22" s="284"/>
      <c r="AN22" s="285"/>
      <c r="AO22" s="285"/>
      <c r="AP22" s="284"/>
      <c r="AQ22" s="285"/>
      <c r="AR22" s="285"/>
      <c r="AS22" s="285"/>
      <c r="AT22" s="287"/>
      <c r="AU22" s="287"/>
      <c r="AV22" s="287"/>
      <c r="AW22" s="288"/>
      <c r="AX22" s="285"/>
      <c r="AY22" s="285"/>
      <c r="AZ22" s="285"/>
      <c r="BA22" s="285"/>
      <c r="BB22" s="285"/>
      <c r="BC22" s="285"/>
      <c r="BD22" s="289"/>
      <c r="BE22" s="289"/>
      <c r="BF22" s="290"/>
      <c r="BG22" s="291"/>
      <c r="BH22" s="291"/>
      <c r="BI22" s="291"/>
      <c r="BJ22" s="291"/>
    </row>
    <row r="23" spans="1:62" ht="19.149999999999999" customHeight="1">
      <c r="A23" s="281">
        <f t="shared" ref="A23:A58" si="4">A22+1</f>
        <v>42</v>
      </c>
      <c r="B23" s="292" t="s">
        <v>488</v>
      </c>
      <c r="C23" s="292" t="s">
        <v>489</v>
      </c>
      <c r="D23" s="292" t="s">
        <v>378</v>
      </c>
      <c r="E23" s="292" t="s">
        <v>142</v>
      </c>
      <c r="F23" s="321" t="s">
        <v>143</v>
      </c>
      <c r="G23" s="322" t="s">
        <v>144</v>
      </c>
      <c r="H23" s="323" t="s">
        <v>90</v>
      </c>
      <c r="I23" s="304"/>
      <c r="J23" s="304"/>
      <c r="K23" s="304"/>
      <c r="L23" s="304"/>
      <c r="M23" s="304"/>
      <c r="N23" s="304"/>
      <c r="O23" s="304" t="s">
        <v>368</v>
      </c>
      <c r="P23" s="304" t="s">
        <v>368</v>
      </c>
      <c r="Q23" s="305" t="s">
        <v>368</v>
      </c>
      <c r="R23" s="305"/>
      <c r="S23" s="285"/>
      <c r="T23" s="285"/>
      <c r="U23" s="285"/>
      <c r="V23" s="285"/>
      <c r="W23" s="285"/>
      <c r="X23" s="285"/>
      <c r="Y23" s="285"/>
      <c r="Z23" s="285"/>
      <c r="AA23" s="285"/>
      <c r="AB23" s="284"/>
      <c r="AC23" s="284"/>
      <c r="AD23" s="285"/>
      <c r="AE23" s="285"/>
      <c r="AF23" s="285"/>
      <c r="AG23" s="285"/>
      <c r="AH23" s="285"/>
      <c r="AI23" s="285"/>
      <c r="AJ23" s="285"/>
      <c r="AK23" s="285"/>
      <c r="AL23" s="285"/>
      <c r="AM23" s="284"/>
      <c r="AN23" s="285"/>
      <c r="AO23" s="285"/>
      <c r="AP23" s="284"/>
      <c r="AQ23" s="285"/>
      <c r="AR23" s="285"/>
      <c r="AS23" s="285"/>
      <c r="AT23" s="287"/>
      <c r="AU23" s="287"/>
      <c r="AV23" s="287"/>
      <c r="AW23" s="288"/>
      <c r="AX23" s="285"/>
      <c r="AY23" s="285"/>
      <c r="AZ23" s="285" t="s">
        <v>370</v>
      </c>
      <c r="BA23" s="285"/>
      <c r="BB23" s="285" t="s">
        <v>370</v>
      </c>
      <c r="BC23" s="285"/>
      <c r="BD23" s="289"/>
      <c r="BE23" s="289"/>
      <c r="BF23" s="290"/>
      <c r="BG23" s="291"/>
      <c r="BH23" s="291"/>
      <c r="BI23" s="291"/>
      <c r="BJ23" s="291"/>
    </row>
    <row r="24" spans="1:62" ht="19.149999999999999" customHeight="1">
      <c r="A24" s="281">
        <f t="shared" si="4"/>
        <v>43</v>
      </c>
      <c r="B24" s="292" t="s">
        <v>490</v>
      </c>
      <c r="C24" s="292" t="s">
        <v>491</v>
      </c>
      <c r="D24" s="292" t="s">
        <v>378</v>
      </c>
      <c r="E24" s="324" t="s">
        <v>145</v>
      </c>
      <c r="F24" s="325" t="s">
        <v>146</v>
      </c>
      <c r="G24" s="326" t="s">
        <v>147</v>
      </c>
      <c r="H24" s="327" t="s">
        <v>90</v>
      </c>
      <c r="I24" s="284"/>
      <c r="J24" s="284"/>
      <c r="K24" s="284"/>
      <c r="L24" s="284"/>
      <c r="M24" s="284"/>
      <c r="N24" s="284"/>
      <c r="O24" s="314"/>
      <c r="P24" s="284"/>
      <c r="Q24" s="284" t="s">
        <v>368</v>
      </c>
      <c r="R24" s="285"/>
      <c r="S24" s="285" t="s">
        <v>368</v>
      </c>
      <c r="T24" s="285" t="s">
        <v>368</v>
      </c>
      <c r="U24" s="285" t="s">
        <v>368</v>
      </c>
      <c r="V24" s="285"/>
      <c r="W24" s="285"/>
      <c r="X24" s="285"/>
      <c r="Y24" s="285" t="s">
        <v>368</v>
      </c>
      <c r="Z24" s="285"/>
      <c r="AA24" s="285"/>
      <c r="AB24" s="284"/>
      <c r="AC24" s="284"/>
      <c r="AD24" s="285"/>
      <c r="AE24" s="285"/>
      <c r="AF24" s="285"/>
      <c r="AG24" s="285"/>
      <c r="AH24" s="285"/>
      <c r="AI24" s="285" t="s">
        <v>369</v>
      </c>
      <c r="AJ24" s="285" t="s">
        <v>368</v>
      </c>
      <c r="AK24" s="285"/>
      <c r="AL24" s="285" t="s">
        <v>368</v>
      </c>
      <c r="AM24" s="284"/>
      <c r="AN24" s="285"/>
      <c r="AO24" s="285" t="s">
        <v>368</v>
      </c>
      <c r="AP24" s="284" t="s">
        <v>368</v>
      </c>
      <c r="AQ24" s="285" t="s">
        <v>368</v>
      </c>
      <c r="AR24" s="285" t="s">
        <v>368</v>
      </c>
      <c r="AS24" s="285"/>
      <c r="AT24" s="287" t="s">
        <v>370</v>
      </c>
      <c r="AU24" s="287" t="s">
        <v>370</v>
      </c>
      <c r="AV24" s="287"/>
      <c r="AW24" s="288" t="s">
        <v>370</v>
      </c>
      <c r="AX24" s="285"/>
      <c r="AY24" s="285"/>
      <c r="AZ24" s="285" t="s">
        <v>370</v>
      </c>
      <c r="BA24" s="285" t="s">
        <v>370</v>
      </c>
      <c r="BB24" s="285" t="s">
        <v>370</v>
      </c>
      <c r="BC24" s="285"/>
      <c r="BD24" s="289"/>
      <c r="BE24" s="289"/>
      <c r="BF24" s="290"/>
      <c r="BG24" s="291"/>
      <c r="BH24" s="291"/>
      <c r="BI24" s="291"/>
      <c r="BJ24" s="291"/>
    </row>
    <row r="25" spans="1:62" ht="19.149999999999999" customHeight="1">
      <c r="A25" s="281">
        <f t="shared" si="4"/>
        <v>44</v>
      </c>
      <c r="B25" s="292" t="s">
        <v>492</v>
      </c>
      <c r="C25" s="292" t="s">
        <v>403</v>
      </c>
      <c r="D25" s="292" t="s">
        <v>404</v>
      </c>
      <c r="E25" s="324" t="s">
        <v>52</v>
      </c>
      <c r="F25" s="328" t="s">
        <v>148</v>
      </c>
      <c r="G25" s="329" t="s">
        <v>54</v>
      </c>
      <c r="H25" s="327" t="s">
        <v>90</v>
      </c>
      <c r="I25" s="304"/>
      <c r="J25" s="304"/>
      <c r="K25" s="304"/>
      <c r="L25" s="304"/>
      <c r="M25" s="304"/>
      <c r="N25" s="304"/>
      <c r="O25" s="304"/>
      <c r="P25" s="304"/>
      <c r="Q25" s="304" t="s">
        <v>368</v>
      </c>
      <c r="R25" s="305"/>
      <c r="S25" s="305" t="s">
        <v>368</v>
      </c>
      <c r="T25" s="285"/>
      <c r="U25" s="285" t="s">
        <v>368</v>
      </c>
      <c r="V25" s="285"/>
      <c r="W25" s="285" t="s">
        <v>368</v>
      </c>
      <c r="X25" s="285" t="s">
        <v>368</v>
      </c>
      <c r="Y25" s="285"/>
      <c r="Z25" s="285" t="s">
        <v>368</v>
      </c>
      <c r="AA25" s="285" t="s">
        <v>368</v>
      </c>
      <c r="AB25" s="284"/>
      <c r="AC25" s="284" t="s">
        <v>368</v>
      </c>
      <c r="AD25" s="285" t="s">
        <v>368</v>
      </c>
      <c r="AE25" s="285" t="s">
        <v>368</v>
      </c>
      <c r="AF25" s="285"/>
      <c r="AG25" s="285"/>
      <c r="AH25" s="285"/>
      <c r="AI25" s="285" t="s">
        <v>369</v>
      </c>
      <c r="AJ25" s="285" t="s">
        <v>368</v>
      </c>
      <c r="AK25" s="285"/>
      <c r="AL25" s="285"/>
      <c r="AM25" s="284"/>
      <c r="AN25" s="285"/>
      <c r="AO25" s="285"/>
      <c r="AP25" s="284" t="s">
        <v>368</v>
      </c>
      <c r="AQ25" s="285"/>
      <c r="AR25" s="285" t="s">
        <v>368</v>
      </c>
      <c r="AS25" s="285"/>
      <c r="AT25" s="287"/>
      <c r="AU25" s="287"/>
      <c r="AV25" s="287"/>
      <c r="AW25" s="288"/>
      <c r="AX25" s="285"/>
      <c r="AY25" s="285"/>
      <c r="AZ25" s="285"/>
      <c r="BA25" s="285"/>
      <c r="BB25" s="285"/>
      <c r="BC25" s="285"/>
      <c r="BD25" s="289"/>
      <c r="BE25" s="289"/>
      <c r="BF25" s="290"/>
      <c r="BG25" s="291"/>
      <c r="BH25" s="291"/>
      <c r="BI25" s="291"/>
      <c r="BJ25" s="291"/>
    </row>
    <row r="26" spans="1:62" ht="19.149999999999999" customHeight="1">
      <c r="A26" s="281">
        <f t="shared" si="4"/>
        <v>45</v>
      </c>
      <c r="B26" s="292" t="s">
        <v>493</v>
      </c>
      <c r="C26" s="292" t="s">
        <v>494</v>
      </c>
      <c r="D26" s="292" t="s">
        <v>404</v>
      </c>
      <c r="E26" s="324" t="s">
        <v>149</v>
      </c>
      <c r="F26" s="326" t="s">
        <v>150</v>
      </c>
      <c r="G26" s="330" t="s">
        <v>151</v>
      </c>
      <c r="H26" s="331" t="s">
        <v>90</v>
      </c>
      <c r="I26" s="284"/>
      <c r="J26" s="284"/>
      <c r="K26" s="284"/>
      <c r="L26" s="284"/>
      <c r="M26" s="284"/>
      <c r="N26" s="284"/>
      <c r="O26" s="284"/>
      <c r="P26" s="284"/>
      <c r="Q26" s="307"/>
      <c r="R26" s="284"/>
      <c r="S26" s="285" t="s">
        <v>368</v>
      </c>
      <c r="T26" s="285"/>
      <c r="U26" s="285"/>
      <c r="V26" s="285"/>
      <c r="W26" s="285"/>
      <c r="X26" s="285"/>
      <c r="Y26" s="285"/>
      <c r="Z26" s="285"/>
      <c r="AA26" s="285"/>
      <c r="AB26" s="284"/>
      <c r="AC26" s="284"/>
      <c r="AD26" s="285"/>
      <c r="AE26" s="285"/>
      <c r="AF26" s="285"/>
      <c r="AG26" s="285"/>
      <c r="AH26" s="285"/>
      <c r="AI26" s="285"/>
      <c r="AJ26" s="285"/>
      <c r="AK26" s="285"/>
      <c r="AL26" s="285"/>
      <c r="AM26" s="284"/>
      <c r="AN26" s="285"/>
      <c r="AO26" s="285"/>
      <c r="AP26" s="284"/>
      <c r="AQ26" s="285"/>
      <c r="AR26" s="285"/>
      <c r="AS26" s="285"/>
      <c r="AT26" s="287"/>
      <c r="AU26" s="287"/>
      <c r="AV26" s="287"/>
      <c r="AW26" s="288"/>
      <c r="AX26" s="285"/>
      <c r="AY26" s="285"/>
      <c r="AZ26" s="285"/>
      <c r="BA26" s="285"/>
      <c r="BB26" s="285"/>
      <c r="BC26" s="285"/>
      <c r="BD26" s="289"/>
      <c r="BE26" s="289"/>
      <c r="BF26" s="290"/>
      <c r="BG26" s="291"/>
      <c r="BH26" s="291"/>
      <c r="BI26" s="291"/>
      <c r="BJ26" s="291"/>
    </row>
    <row r="27" spans="1:62" ht="19.149999999999999" customHeight="1">
      <c r="A27" s="281">
        <f t="shared" si="4"/>
        <v>46</v>
      </c>
      <c r="B27" s="292" t="s">
        <v>495</v>
      </c>
      <c r="C27" s="292" t="s">
        <v>496</v>
      </c>
      <c r="D27" s="292" t="s">
        <v>404</v>
      </c>
      <c r="E27" s="292" t="s">
        <v>152</v>
      </c>
      <c r="F27" s="332" t="s">
        <v>153</v>
      </c>
      <c r="G27" s="333" t="s">
        <v>154</v>
      </c>
      <c r="H27" s="323" t="s">
        <v>90</v>
      </c>
      <c r="I27" s="284"/>
      <c r="J27" s="284"/>
      <c r="K27" s="284"/>
      <c r="L27" s="284"/>
      <c r="M27" s="284"/>
      <c r="N27" s="284"/>
      <c r="O27" s="284"/>
      <c r="P27" s="284"/>
      <c r="Q27" s="307"/>
      <c r="R27" s="284"/>
      <c r="S27" s="285" t="s">
        <v>368</v>
      </c>
      <c r="T27" s="285" t="s">
        <v>368</v>
      </c>
      <c r="U27" s="285"/>
      <c r="V27" s="285"/>
      <c r="W27" s="305"/>
      <c r="X27" s="285"/>
      <c r="Y27" s="285" t="s">
        <v>368</v>
      </c>
      <c r="Z27" s="285" t="s">
        <v>368</v>
      </c>
      <c r="AA27" s="285"/>
      <c r="AB27" s="284"/>
      <c r="AC27" s="284"/>
      <c r="AD27" s="285" t="s">
        <v>368</v>
      </c>
      <c r="AE27" s="285" t="s">
        <v>368</v>
      </c>
      <c r="AF27" s="285" t="s">
        <v>368</v>
      </c>
      <c r="AG27" s="285"/>
      <c r="AH27" s="285"/>
      <c r="AI27" s="285" t="s">
        <v>369</v>
      </c>
      <c r="AJ27" s="285" t="s">
        <v>368</v>
      </c>
      <c r="AK27" s="285"/>
      <c r="AL27" s="285" t="s">
        <v>368</v>
      </c>
      <c r="AM27" s="284"/>
      <c r="AN27" s="285"/>
      <c r="AO27" s="285"/>
      <c r="AP27" s="284"/>
      <c r="AQ27" s="285"/>
      <c r="AR27" s="285"/>
      <c r="AS27" s="285"/>
      <c r="AT27" s="287" t="s">
        <v>370</v>
      </c>
      <c r="AU27" s="287" t="s">
        <v>370</v>
      </c>
      <c r="AV27" s="287" t="s">
        <v>370</v>
      </c>
      <c r="AW27" s="288"/>
      <c r="AX27" s="285" t="s">
        <v>370</v>
      </c>
      <c r="AY27" s="285"/>
      <c r="AZ27" s="285" t="s">
        <v>370</v>
      </c>
      <c r="BA27" s="285"/>
      <c r="BB27" s="285" t="s">
        <v>370</v>
      </c>
      <c r="BC27" s="285"/>
      <c r="BD27" s="289"/>
      <c r="BE27" s="289"/>
      <c r="BF27" s="290"/>
      <c r="BG27" s="291"/>
      <c r="BH27" s="291"/>
      <c r="BI27" s="291"/>
      <c r="BJ27" s="291"/>
    </row>
    <row r="28" spans="1:62" ht="19.149999999999999" customHeight="1">
      <c r="A28" s="281">
        <f t="shared" si="4"/>
        <v>47</v>
      </c>
      <c r="B28" s="292" t="s">
        <v>497</v>
      </c>
      <c r="C28" s="292" t="s">
        <v>498</v>
      </c>
      <c r="D28" s="292" t="s">
        <v>378</v>
      </c>
      <c r="E28" s="292" t="s">
        <v>155</v>
      </c>
      <c r="F28" s="293" t="s">
        <v>156</v>
      </c>
      <c r="G28" s="324" t="s">
        <v>157</v>
      </c>
      <c r="H28" s="323" t="s">
        <v>90</v>
      </c>
      <c r="I28" s="304"/>
      <c r="J28" s="304"/>
      <c r="K28" s="304"/>
      <c r="L28" s="304"/>
      <c r="M28" s="304"/>
      <c r="N28" s="304"/>
      <c r="O28" s="304"/>
      <c r="P28" s="304"/>
      <c r="Q28" s="317"/>
      <c r="R28" s="304"/>
      <c r="S28" s="305" t="s">
        <v>368</v>
      </c>
      <c r="T28" s="305" t="s">
        <v>368</v>
      </c>
      <c r="U28" s="285"/>
      <c r="V28" s="285" t="s">
        <v>368</v>
      </c>
      <c r="W28" s="284"/>
      <c r="X28" s="313" t="s">
        <v>368</v>
      </c>
      <c r="Y28" s="285"/>
      <c r="Z28" s="285" t="s">
        <v>368</v>
      </c>
      <c r="AA28" s="285" t="s">
        <v>368</v>
      </c>
      <c r="AB28" s="284"/>
      <c r="AC28" s="284" t="s">
        <v>368</v>
      </c>
      <c r="AD28" s="285"/>
      <c r="AE28" s="285"/>
      <c r="AF28" s="285"/>
      <c r="AG28" s="285"/>
      <c r="AH28" s="285" t="s">
        <v>368</v>
      </c>
      <c r="AI28" s="285"/>
      <c r="AJ28" s="285"/>
      <c r="AK28" s="285" t="s">
        <v>368</v>
      </c>
      <c r="AL28" s="285" t="s">
        <v>368</v>
      </c>
      <c r="AM28" s="284"/>
      <c r="AN28" s="285" t="s">
        <v>368</v>
      </c>
      <c r="AO28" s="285"/>
      <c r="AP28" s="284" t="s">
        <v>368</v>
      </c>
      <c r="AQ28" s="285" t="s">
        <v>368</v>
      </c>
      <c r="AR28" s="285" t="s">
        <v>368</v>
      </c>
      <c r="AS28" s="285"/>
      <c r="AT28" s="287" t="s">
        <v>370</v>
      </c>
      <c r="AU28" s="287"/>
      <c r="AV28" s="287" t="s">
        <v>370</v>
      </c>
      <c r="AW28" s="288" t="s">
        <v>370</v>
      </c>
      <c r="AX28" s="285" t="s">
        <v>370</v>
      </c>
      <c r="AY28" s="285"/>
      <c r="AZ28" s="285" t="s">
        <v>370</v>
      </c>
      <c r="BA28" s="285" t="s">
        <v>370</v>
      </c>
      <c r="BB28" s="285" t="s">
        <v>370</v>
      </c>
      <c r="BC28" s="285" t="s">
        <v>370</v>
      </c>
      <c r="BD28" s="289"/>
      <c r="BE28" s="289"/>
      <c r="BF28" s="290"/>
      <c r="BG28" s="291"/>
      <c r="BH28" s="291"/>
      <c r="BI28" s="291"/>
      <c r="BJ28" s="291"/>
    </row>
    <row r="29" spans="1:62" ht="19.149999999999999" customHeight="1">
      <c r="A29" s="281">
        <f t="shared" si="4"/>
        <v>48</v>
      </c>
      <c r="B29" s="292" t="s">
        <v>499</v>
      </c>
      <c r="C29" s="292" t="s">
        <v>500</v>
      </c>
      <c r="D29" s="292" t="s">
        <v>404</v>
      </c>
      <c r="E29" s="292" t="s">
        <v>158</v>
      </c>
      <c r="F29" s="293" t="s">
        <v>159</v>
      </c>
      <c r="G29" s="293" t="s">
        <v>160</v>
      </c>
      <c r="H29" s="323" t="s">
        <v>90</v>
      </c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5" t="s">
        <v>368</v>
      </c>
      <c r="U29" s="285"/>
      <c r="V29" s="285"/>
      <c r="W29" s="294" t="s">
        <v>368</v>
      </c>
      <c r="X29" s="285"/>
      <c r="Y29" s="285"/>
      <c r="Z29" s="285"/>
      <c r="AA29" s="285" t="s">
        <v>368</v>
      </c>
      <c r="AB29" s="284"/>
      <c r="AC29" s="284" t="s">
        <v>368</v>
      </c>
      <c r="AD29" s="285" t="s">
        <v>368</v>
      </c>
      <c r="AE29" s="285"/>
      <c r="AF29" s="285"/>
      <c r="AG29" s="285"/>
      <c r="AH29" s="285"/>
      <c r="AI29" s="285"/>
      <c r="AJ29" s="285"/>
      <c r="AK29" s="285"/>
      <c r="AL29" s="285"/>
      <c r="AM29" s="284"/>
      <c r="AN29" s="285"/>
      <c r="AO29" s="285"/>
      <c r="AP29" s="284"/>
      <c r="AQ29" s="285"/>
      <c r="AR29" s="285"/>
      <c r="AS29" s="285"/>
      <c r="AT29" s="287"/>
      <c r="AU29" s="287"/>
      <c r="AV29" s="287"/>
      <c r="AW29" s="288"/>
      <c r="AX29" s="285"/>
      <c r="AY29" s="285"/>
      <c r="AZ29" s="285"/>
      <c r="BA29" s="285"/>
      <c r="BB29" s="285"/>
      <c r="BC29" s="285"/>
      <c r="BD29" s="289"/>
      <c r="BE29" s="289"/>
      <c r="BF29" s="290"/>
      <c r="BG29" s="291"/>
      <c r="BH29" s="291"/>
      <c r="BI29" s="291"/>
      <c r="BJ29" s="291"/>
    </row>
    <row r="30" spans="1:62" ht="19.149999999999999" customHeight="1">
      <c r="A30" s="281">
        <f t="shared" si="4"/>
        <v>49</v>
      </c>
      <c r="B30" s="292" t="s">
        <v>501</v>
      </c>
      <c r="C30" s="292" t="s">
        <v>502</v>
      </c>
      <c r="D30" s="292" t="s">
        <v>378</v>
      </c>
      <c r="E30" s="292" t="s">
        <v>161</v>
      </c>
      <c r="F30" s="293" t="s">
        <v>162</v>
      </c>
      <c r="G30" s="293" t="s">
        <v>163</v>
      </c>
      <c r="H30" s="323" t="s">
        <v>90</v>
      </c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5" t="s">
        <v>368</v>
      </c>
      <c r="U30" s="285" t="s">
        <v>368</v>
      </c>
      <c r="V30" s="305"/>
      <c r="W30" s="285"/>
      <c r="X30" s="285" t="s">
        <v>368</v>
      </c>
      <c r="Y30" s="285"/>
      <c r="Z30" s="285" t="s">
        <v>368</v>
      </c>
      <c r="AA30" s="285" t="s">
        <v>368</v>
      </c>
      <c r="AB30" s="284"/>
      <c r="AC30" s="284" t="s">
        <v>368</v>
      </c>
      <c r="AD30" s="285" t="s">
        <v>368</v>
      </c>
      <c r="AE30" s="285" t="s">
        <v>368</v>
      </c>
      <c r="AF30" s="285" t="s">
        <v>368</v>
      </c>
      <c r="AG30" s="285"/>
      <c r="AH30" s="285" t="s">
        <v>368</v>
      </c>
      <c r="AI30" s="285"/>
      <c r="AJ30" s="285"/>
      <c r="AK30" s="285"/>
      <c r="AL30" s="285"/>
      <c r="AM30" s="284"/>
      <c r="AN30" s="285"/>
      <c r="AO30" s="285"/>
      <c r="AP30" s="284"/>
      <c r="AQ30" s="285"/>
      <c r="AR30" s="285"/>
      <c r="AS30" s="285"/>
      <c r="AT30" s="287"/>
      <c r="AU30" s="287"/>
      <c r="AV30" s="287"/>
      <c r="AW30" s="288" t="s">
        <v>370</v>
      </c>
      <c r="AX30" s="285"/>
      <c r="AY30" s="285"/>
      <c r="AZ30" s="285"/>
      <c r="BA30" s="285" t="s">
        <v>370</v>
      </c>
      <c r="BB30" s="285" t="s">
        <v>370</v>
      </c>
      <c r="BC30" s="285" t="s">
        <v>370</v>
      </c>
      <c r="BD30" s="289" t="s">
        <v>370</v>
      </c>
      <c r="BE30" s="289" t="s">
        <v>370</v>
      </c>
      <c r="BF30" s="290" t="s">
        <v>370</v>
      </c>
      <c r="BG30" s="291"/>
      <c r="BH30" s="291"/>
      <c r="BI30" s="291"/>
      <c r="BJ30" s="291"/>
    </row>
    <row r="31" spans="1:62" ht="19.149999999999999" customHeight="1">
      <c r="A31" s="281">
        <f t="shared" si="4"/>
        <v>50</v>
      </c>
      <c r="B31" s="292" t="s">
        <v>503</v>
      </c>
      <c r="C31" s="292" t="s">
        <v>504</v>
      </c>
      <c r="D31" s="292" t="s">
        <v>404</v>
      </c>
      <c r="E31" s="292" t="s">
        <v>164</v>
      </c>
      <c r="F31" s="293" t="s">
        <v>165</v>
      </c>
      <c r="G31" s="293" t="s">
        <v>166</v>
      </c>
      <c r="H31" s="323" t="s">
        <v>90</v>
      </c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  <c r="T31" s="313"/>
      <c r="U31" s="285"/>
      <c r="V31" s="285"/>
      <c r="W31" s="304" t="s">
        <v>368</v>
      </c>
      <c r="X31" s="304" t="s">
        <v>368</v>
      </c>
      <c r="Y31" s="305"/>
      <c r="Z31" s="285"/>
      <c r="AA31" s="285"/>
      <c r="AB31" s="284"/>
      <c r="AC31" s="284"/>
      <c r="AD31" s="285"/>
      <c r="AE31" s="285"/>
      <c r="AF31" s="285"/>
      <c r="AG31" s="285"/>
      <c r="AH31" s="285"/>
      <c r="AI31" s="285"/>
      <c r="AJ31" s="285"/>
      <c r="AK31" s="285"/>
      <c r="AL31" s="285"/>
      <c r="AM31" s="284"/>
      <c r="AN31" s="285"/>
      <c r="AO31" s="285" t="s">
        <v>368</v>
      </c>
      <c r="AP31" s="284"/>
      <c r="AQ31" s="285"/>
      <c r="AR31" s="285" t="s">
        <v>368</v>
      </c>
      <c r="AS31" s="285"/>
      <c r="AT31" s="287"/>
      <c r="AU31" s="287" t="s">
        <v>370</v>
      </c>
      <c r="AV31" s="287" t="s">
        <v>370</v>
      </c>
      <c r="AW31" s="288"/>
      <c r="AX31" s="285" t="s">
        <v>370</v>
      </c>
      <c r="AY31" s="285"/>
      <c r="AZ31" s="285" t="s">
        <v>370</v>
      </c>
      <c r="BA31" s="285" t="s">
        <v>370</v>
      </c>
      <c r="BB31" s="285"/>
      <c r="BC31" s="285"/>
      <c r="BD31" s="289"/>
      <c r="BE31" s="289"/>
      <c r="BF31" s="290"/>
      <c r="BG31" s="291"/>
      <c r="BH31" s="291"/>
      <c r="BI31" s="291" t="s">
        <v>370</v>
      </c>
      <c r="BJ31" s="291"/>
    </row>
    <row r="32" spans="1:62" ht="19.149999999999999" customHeight="1">
      <c r="A32" s="281">
        <f t="shared" si="4"/>
        <v>51</v>
      </c>
      <c r="B32" s="292" t="s">
        <v>505</v>
      </c>
      <c r="C32" s="292" t="s">
        <v>506</v>
      </c>
      <c r="D32" s="292" t="s">
        <v>378</v>
      </c>
      <c r="E32" s="292" t="s">
        <v>167</v>
      </c>
      <c r="F32" s="335" t="s">
        <v>507</v>
      </c>
      <c r="G32" s="292" t="s">
        <v>169</v>
      </c>
      <c r="H32" s="323" t="s">
        <v>90</v>
      </c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04"/>
      <c r="X32" s="304" t="s">
        <v>368</v>
      </c>
      <c r="Y32" s="305"/>
      <c r="Z32" s="285"/>
      <c r="AA32" s="285" t="s">
        <v>368</v>
      </c>
      <c r="AB32" s="284"/>
      <c r="AC32" s="284"/>
      <c r="AD32" s="285"/>
      <c r="AE32" s="285"/>
      <c r="AF32" s="285"/>
      <c r="AG32" s="285"/>
      <c r="AH32" s="285"/>
      <c r="AI32" s="285"/>
      <c r="AJ32" s="285"/>
      <c r="AK32" s="285"/>
      <c r="AL32" s="285"/>
      <c r="AM32" s="284"/>
      <c r="AN32" s="285"/>
      <c r="AO32" s="285"/>
      <c r="AP32" s="284"/>
      <c r="AQ32" s="285"/>
      <c r="AR32" s="285"/>
      <c r="AS32" s="285"/>
      <c r="AT32" s="287"/>
      <c r="AU32" s="287" t="s">
        <v>370</v>
      </c>
      <c r="AV32" s="287"/>
      <c r="AW32" s="288"/>
      <c r="AX32" s="285" t="s">
        <v>370</v>
      </c>
      <c r="AY32" s="285"/>
      <c r="AZ32" s="285" t="s">
        <v>370</v>
      </c>
      <c r="BA32" s="285"/>
      <c r="BB32" s="285"/>
      <c r="BC32" s="285"/>
      <c r="BD32" s="289"/>
      <c r="BE32" s="289"/>
      <c r="BF32" s="290"/>
      <c r="BG32" s="291"/>
      <c r="BH32" s="291"/>
      <c r="BI32" s="291" t="s">
        <v>370</v>
      </c>
      <c r="BJ32" s="291"/>
    </row>
    <row r="33" spans="1:62" ht="19.149999999999999" customHeight="1">
      <c r="A33" s="281">
        <f t="shared" si="4"/>
        <v>52</v>
      </c>
      <c r="B33" s="292" t="s">
        <v>508</v>
      </c>
      <c r="C33" s="292" t="s">
        <v>509</v>
      </c>
      <c r="D33" s="292" t="s">
        <v>404</v>
      </c>
      <c r="E33" s="292" t="s">
        <v>170</v>
      </c>
      <c r="F33" s="293" t="s">
        <v>171</v>
      </c>
      <c r="G33" s="324" t="s">
        <v>172</v>
      </c>
      <c r="H33" s="323" t="s">
        <v>90</v>
      </c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284"/>
      <c r="X33" s="284" t="s">
        <v>368</v>
      </c>
      <c r="Y33" s="305"/>
      <c r="Z33" s="305"/>
      <c r="AA33" s="305" t="s">
        <v>368</v>
      </c>
      <c r="AB33" s="284"/>
      <c r="AC33" s="284"/>
      <c r="AD33" s="285" t="s">
        <v>368</v>
      </c>
      <c r="AE33" s="285" t="s">
        <v>368</v>
      </c>
      <c r="AF33" s="285"/>
      <c r="AG33" s="285"/>
      <c r="AH33" s="285"/>
      <c r="AI33" s="285"/>
      <c r="AJ33" s="285" t="s">
        <v>368</v>
      </c>
      <c r="AK33" s="285"/>
      <c r="AL33" s="285" t="s">
        <v>368</v>
      </c>
      <c r="AM33" s="284"/>
      <c r="AN33" s="285"/>
      <c r="AO33" s="285" t="s">
        <v>368</v>
      </c>
      <c r="AP33" s="284" t="s">
        <v>368</v>
      </c>
      <c r="AQ33" s="285" t="s">
        <v>368</v>
      </c>
      <c r="AR33" s="285"/>
      <c r="AS33" s="285"/>
      <c r="AT33" s="287" t="s">
        <v>370</v>
      </c>
      <c r="AU33" s="287"/>
      <c r="AV33" s="287" t="s">
        <v>370</v>
      </c>
      <c r="AW33" s="288"/>
      <c r="AX33" s="285"/>
      <c r="AY33" s="285"/>
      <c r="AZ33" s="285"/>
      <c r="BA33" s="285" t="s">
        <v>370</v>
      </c>
      <c r="BB33" s="285"/>
      <c r="BC33" s="285"/>
      <c r="BD33" s="289" t="s">
        <v>370</v>
      </c>
      <c r="BE33" s="289"/>
      <c r="BF33" s="290" t="s">
        <v>370</v>
      </c>
      <c r="BG33" s="291" t="s">
        <v>370</v>
      </c>
      <c r="BH33" s="291" t="s">
        <v>370</v>
      </c>
      <c r="BI33" s="291" t="s">
        <v>370</v>
      </c>
      <c r="BJ33" s="291"/>
    </row>
    <row r="34" spans="1:62" ht="19.149999999999999" customHeight="1">
      <c r="A34" s="281">
        <f t="shared" si="4"/>
        <v>53</v>
      </c>
      <c r="B34" s="292" t="s">
        <v>510</v>
      </c>
      <c r="C34" s="292" t="s">
        <v>511</v>
      </c>
      <c r="D34" s="292" t="s">
        <v>404</v>
      </c>
      <c r="E34" s="292" t="s">
        <v>173</v>
      </c>
      <c r="F34" s="293" t="s">
        <v>174</v>
      </c>
      <c r="G34" s="292" t="s">
        <v>175</v>
      </c>
      <c r="H34" s="323" t="s">
        <v>90</v>
      </c>
      <c r="I34" s="336"/>
      <c r="J34" s="336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04"/>
      <c r="Z34" s="304" t="s">
        <v>368</v>
      </c>
      <c r="AA34" s="305"/>
      <c r="AB34" s="284"/>
      <c r="AC34" s="284"/>
      <c r="AD34" s="285"/>
      <c r="AE34" s="285"/>
      <c r="AF34" s="285"/>
      <c r="AG34" s="285"/>
      <c r="AH34" s="285" t="s">
        <v>368</v>
      </c>
      <c r="AI34" s="285"/>
      <c r="AJ34" s="285"/>
      <c r="AK34" s="285"/>
      <c r="AL34" s="285"/>
      <c r="AM34" s="284"/>
      <c r="AN34" s="285"/>
      <c r="AO34" s="285"/>
      <c r="AP34" s="284"/>
      <c r="AQ34" s="285"/>
      <c r="AR34" s="285"/>
      <c r="AS34" s="285"/>
      <c r="AT34" s="287"/>
      <c r="AU34" s="287"/>
      <c r="AV34" s="287"/>
      <c r="AW34" s="288"/>
      <c r="AX34" s="285"/>
      <c r="AY34" s="285"/>
      <c r="AZ34" s="285"/>
      <c r="BA34" s="285"/>
      <c r="BB34" s="285"/>
      <c r="BC34" s="285"/>
      <c r="BD34" s="289"/>
      <c r="BE34" s="289"/>
      <c r="BF34" s="290"/>
      <c r="BG34" s="291"/>
      <c r="BH34" s="291"/>
      <c r="BI34" s="291"/>
      <c r="BJ34" s="291"/>
    </row>
    <row r="35" spans="1:62" ht="19.149999999999999" customHeight="1">
      <c r="A35" s="281">
        <f t="shared" si="4"/>
        <v>54</v>
      </c>
      <c r="B35" s="292" t="s">
        <v>512</v>
      </c>
      <c r="C35" s="292" t="s">
        <v>513</v>
      </c>
      <c r="D35" s="292" t="s">
        <v>378</v>
      </c>
      <c r="E35" s="292" t="s">
        <v>176</v>
      </c>
      <c r="F35" s="306" t="s">
        <v>177</v>
      </c>
      <c r="G35" s="292" t="s">
        <v>178</v>
      </c>
      <c r="H35" s="323" t="s">
        <v>90</v>
      </c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04"/>
      <c r="Z35" s="304"/>
      <c r="AA35" s="305" t="s">
        <v>368</v>
      </c>
      <c r="AB35" s="304"/>
      <c r="AC35" s="284"/>
      <c r="AD35" s="285"/>
      <c r="AE35" s="285" t="s">
        <v>368</v>
      </c>
      <c r="AF35" s="285"/>
      <c r="AG35" s="285"/>
      <c r="AH35" s="285"/>
      <c r="AI35" s="285"/>
      <c r="AJ35" s="285"/>
      <c r="AK35" s="285"/>
      <c r="AL35" s="285"/>
      <c r="AM35" s="284"/>
      <c r="AN35" s="285"/>
      <c r="AO35" s="285"/>
      <c r="AP35" s="284"/>
      <c r="AQ35" s="285"/>
      <c r="AR35" s="285"/>
      <c r="AS35" s="285"/>
      <c r="AT35" s="287"/>
      <c r="AU35" s="287"/>
      <c r="AV35" s="287"/>
      <c r="AW35" s="288"/>
      <c r="AX35" s="285"/>
      <c r="AY35" s="285"/>
      <c r="AZ35" s="285"/>
      <c r="BA35" s="285"/>
      <c r="BB35" s="285"/>
      <c r="BC35" s="285"/>
      <c r="BD35" s="289"/>
      <c r="BE35" s="289"/>
      <c r="BF35" s="290"/>
      <c r="BG35" s="291"/>
      <c r="BH35" s="291"/>
      <c r="BI35" s="291"/>
      <c r="BJ35" s="291"/>
    </row>
    <row r="36" spans="1:62" ht="19.149999999999999" customHeight="1">
      <c r="A36" s="281">
        <f t="shared" si="4"/>
        <v>55</v>
      </c>
      <c r="B36" s="292" t="s">
        <v>514</v>
      </c>
      <c r="C36" s="292" t="s">
        <v>462</v>
      </c>
      <c r="D36" s="292" t="s">
        <v>378</v>
      </c>
      <c r="E36" s="292" t="s">
        <v>179</v>
      </c>
      <c r="F36" s="306" t="s">
        <v>180</v>
      </c>
      <c r="G36" s="292" t="s">
        <v>181</v>
      </c>
      <c r="H36" s="323" t="s">
        <v>90</v>
      </c>
      <c r="I36" s="336"/>
      <c r="J36" s="336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04"/>
      <c r="Z36" s="304"/>
      <c r="AA36" s="305" t="s">
        <v>368</v>
      </c>
      <c r="AB36" s="304"/>
      <c r="AC36" s="304" t="s">
        <v>368</v>
      </c>
      <c r="AD36" s="305" t="s">
        <v>368</v>
      </c>
      <c r="AE36" s="285"/>
      <c r="AF36" s="285"/>
      <c r="AG36" s="285"/>
      <c r="AH36" s="285"/>
      <c r="AI36" s="285" t="s">
        <v>369</v>
      </c>
      <c r="AJ36" s="285"/>
      <c r="AK36" s="285"/>
      <c r="AL36" s="285" t="s">
        <v>368</v>
      </c>
      <c r="AM36" s="284"/>
      <c r="AN36" s="285"/>
      <c r="AO36" s="285"/>
      <c r="AP36" s="284" t="s">
        <v>368</v>
      </c>
      <c r="AQ36" s="285"/>
      <c r="AR36" s="285"/>
      <c r="AS36" s="285"/>
      <c r="AT36" s="287" t="s">
        <v>370</v>
      </c>
      <c r="AU36" s="287"/>
      <c r="AV36" s="287"/>
      <c r="AW36" s="288" t="s">
        <v>370</v>
      </c>
      <c r="AX36" s="285" t="s">
        <v>370</v>
      </c>
      <c r="AY36" s="285"/>
      <c r="AZ36" s="285" t="s">
        <v>370</v>
      </c>
      <c r="BA36" s="285" t="s">
        <v>370</v>
      </c>
      <c r="BB36" s="285" t="s">
        <v>370</v>
      </c>
      <c r="BC36" s="285" t="s">
        <v>370</v>
      </c>
      <c r="BD36" s="289" t="s">
        <v>370</v>
      </c>
      <c r="BE36" s="289"/>
      <c r="BF36" s="290" t="s">
        <v>370</v>
      </c>
      <c r="BG36" s="291"/>
      <c r="BH36" s="291"/>
      <c r="BI36" s="291"/>
      <c r="BJ36" s="291"/>
    </row>
    <row r="37" spans="1:62" ht="19.149999999999999" customHeight="1">
      <c r="A37" s="281">
        <f t="shared" si="4"/>
        <v>56</v>
      </c>
      <c r="B37" s="292" t="s">
        <v>515</v>
      </c>
      <c r="C37" s="292" t="s">
        <v>475</v>
      </c>
      <c r="D37" s="292" t="s">
        <v>378</v>
      </c>
      <c r="E37" s="292" t="s">
        <v>182</v>
      </c>
      <c r="F37" s="306" t="s">
        <v>183</v>
      </c>
      <c r="G37" s="302">
        <v>862412095</v>
      </c>
      <c r="H37" s="292" t="s">
        <v>90</v>
      </c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284"/>
      <c r="Z37" s="284"/>
      <c r="AA37" s="284"/>
      <c r="AB37" s="284"/>
      <c r="AC37" s="284"/>
      <c r="AD37" s="285" t="s">
        <v>368</v>
      </c>
      <c r="AE37" s="285"/>
      <c r="AF37" s="285"/>
      <c r="AG37" s="285"/>
      <c r="AH37" s="285"/>
      <c r="AI37" s="285"/>
      <c r="AJ37" s="285"/>
      <c r="AK37" s="285"/>
      <c r="AL37" s="285"/>
      <c r="AM37" s="284"/>
      <c r="AN37" s="285"/>
      <c r="AO37" s="285"/>
      <c r="AP37" s="284"/>
      <c r="AQ37" s="285"/>
      <c r="AR37" s="285"/>
      <c r="AS37" s="285"/>
      <c r="AT37" s="287"/>
      <c r="AU37" s="287"/>
      <c r="AV37" s="287" t="s">
        <v>370</v>
      </c>
      <c r="AW37" s="288" t="s">
        <v>370</v>
      </c>
      <c r="AX37" s="285"/>
      <c r="AY37" s="285"/>
      <c r="AZ37" s="285"/>
      <c r="BA37" s="285"/>
      <c r="BB37" s="285"/>
      <c r="BC37" s="285"/>
      <c r="BD37" s="289"/>
      <c r="BE37" s="289"/>
      <c r="BF37" s="290"/>
      <c r="BG37" s="291"/>
      <c r="BH37" s="291"/>
      <c r="BI37" s="291"/>
      <c r="BJ37" s="291"/>
    </row>
    <row r="38" spans="1:62" ht="19.149999999999999" customHeight="1">
      <c r="A38" s="281">
        <f t="shared" si="4"/>
        <v>57</v>
      </c>
      <c r="B38" s="292" t="s">
        <v>516</v>
      </c>
      <c r="C38" s="292" t="s">
        <v>517</v>
      </c>
      <c r="D38" s="292" t="s">
        <v>378</v>
      </c>
      <c r="E38" s="292" t="s">
        <v>184</v>
      </c>
      <c r="F38" s="306" t="s">
        <v>185</v>
      </c>
      <c r="G38" s="337">
        <v>703244160</v>
      </c>
      <c r="H38" s="292" t="s">
        <v>90</v>
      </c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04"/>
      <c r="Z38" s="304"/>
      <c r="AA38" s="304"/>
      <c r="AB38" s="304"/>
      <c r="AC38" s="304"/>
      <c r="AD38" s="305" t="s">
        <v>368</v>
      </c>
      <c r="AE38" s="305"/>
      <c r="AF38" s="305"/>
      <c r="AG38" s="285" t="s">
        <v>368</v>
      </c>
      <c r="AH38" s="285"/>
      <c r="AI38" s="285" t="s">
        <v>369</v>
      </c>
      <c r="AJ38" s="305"/>
      <c r="AK38" s="285" t="s">
        <v>368</v>
      </c>
      <c r="AL38" s="285"/>
      <c r="AM38" s="284"/>
      <c r="AN38" s="285"/>
      <c r="AO38" s="285"/>
      <c r="AP38" s="284"/>
      <c r="AQ38" s="285"/>
      <c r="AR38" s="285"/>
      <c r="AS38" s="285"/>
      <c r="AT38" s="287" t="s">
        <v>370</v>
      </c>
      <c r="AU38" s="287" t="s">
        <v>370</v>
      </c>
      <c r="AV38" s="287" t="s">
        <v>370</v>
      </c>
      <c r="AW38" s="288" t="s">
        <v>370</v>
      </c>
      <c r="AX38" s="285"/>
      <c r="AY38" s="285"/>
      <c r="AZ38" s="285"/>
      <c r="BA38" s="285"/>
      <c r="BB38" s="285"/>
      <c r="BC38" s="285"/>
      <c r="BD38" s="289"/>
      <c r="BE38" s="289"/>
      <c r="BF38" s="290" t="s">
        <v>370</v>
      </c>
      <c r="BG38" s="291" t="s">
        <v>370</v>
      </c>
      <c r="BH38" s="291" t="s">
        <v>370</v>
      </c>
      <c r="BI38" s="291"/>
      <c r="BJ38" s="291"/>
    </row>
    <row r="39" spans="1:62" ht="19.149999999999999" customHeight="1">
      <c r="A39" s="281">
        <f t="shared" si="4"/>
        <v>58</v>
      </c>
      <c r="B39" s="292" t="s">
        <v>518</v>
      </c>
      <c r="C39" s="292"/>
      <c r="D39" s="292"/>
      <c r="E39" s="292"/>
      <c r="F39" s="292"/>
      <c r="G39" s="324"/>
      <c r="H39" s="292" t="s">
        <v>90</v>
      </c>
      <c r="I39" s="307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 t="s">
        <v>368</v>
      </c>
      <c r="AF39" s="285"/>
      <c r="AG39" s="285"/>
      <c r="AH39" s="285"/>
      <c r="AI39" s="285"/>
      <c r="AJ39" s="285"/>
      <c r="AK39" s="285"/>
      <c r="AL39" s="285"/>
      <c r="AM39" s="284"/>
      <c r="AN39" s="285"/>
      <c r="AO39" s="285"/>
      <c r="AP39" s="284"/>
      <c r="AQ39" s="285"/>
      <c r="AR39" s="285"/>
      <c r="AS39" s="285"/>
      <c r="AT39" s="287"/>
      <c r="AU39" s="287"/>
      <c r="AV39" s="287"/>
      <c r="AW39" s="288"/>
      <c r="AX39" s="285"/>
      <c r="AY39" s="285"/>
      <c r="AZ39" s="285"/>
      <c r="BA39" s="285"/>
      <c r="BB39" s="285"/>
      <c r="BC39" s="285"/>
      <c r="BD39" s="289"/>
      <c r="BE39" s="289"/>
      <c r="BF39" s="290"/>
      <c r="BG39" s="291"/>
      <c r="BH39" s="291"/>
      <c r="BI39" s="291"/>
      <c r="BJ39" s="291"/>
    </row>
    <row r="40" spans="1:62" ht="19.149999999999999" customHeight="1">
      <c r="A40" s="281">
        <f t="shared" si="4"/>
        <v>59</v>
      </c>
      <c r="B40" s="292" t="s">
        <v>519</v>
      </c>
      <c r="C40" s="292"/>
      <c r="D40" s="292"/>
      <c r="E40" s="292"/>
      <c r="F40" s="292"/>
      <c r="G40" s="324"/>
      <c r="H40" s="292" t="s">
        <v>90</v>
      </c>
      <c r="I40" s="307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304"/>
      <c r="AD40" s="304"/>
      <c r="AE40" s="304" t="s">
        <v>368</v>
      </c>
      <c r="AF40" s="305"/>
      <c r="AG40" s="305"/>
      <c r="AH40" s="305"/>
      <c r="AI40" s="305"/>
      <c r="AJ40" s="285"/>
      <c r="AK40" s="285"/>
      <c r="AL40" s="285"/>
      <c r="AM40" s="284"/>
      <c r="AN40" s="285"/>
      <c r="AO40" s="285"/>
      <c r="AP40" s="284"/>
      <c r="AQ40" s="285"/>
      <c r="AR40" s="285"/>
      <c r="AS40" s="285"/>
      <c r="AT40" s="287"/>
      <c r="AU40" s="287"/>
      <c r="AV40" s="287"/>
      <c r="AW40" s="288"/>
      <c r="AX40" s="285"/>
      <c r="AY40" s="285"/>
      <c r="AZ40" s="285"/>
      <c r="BA40" s="285"/>
      <c r="BB40" s="285"/>
      <c r="BC40" s="285"/>
      <c r="BD40" s="289"/>
      <c r="BE40" s="289"/>
      <c r="BF40" s="290" t="s">
        <v>370</v>
      </c>
      <c r="BG40" s="291"/>
      <c r="BH40" s="291"/>
      <c r="BI40" s="291"/>
      <c r="BJ40" s="291"/>
    </row>
    <row r="41" spans="1:62" ht="19.149999999999999" customHeight="1">
      <c r="A41" s="281">
        <f t="shared" si="4"/>
        <v>60</v>
      </c>
      <c r="B41" s="292" t="s">
        <v>520</v>
      </c>
      <c r="C41" s="292" t="s">
        <v>521</v>
      </c>
      <c r="D41" s="292" t="s">
        <v>404</v>
      </c>
      <c r="E41" s="292" t="s">
        <v>186</v>
      </c>
      <c r="F41" s="293" t="s">
        <v>187</v>
      </c>
      <c r="G41" s="324" t="s">
        <v>188</v>
      </c>
      <c r="H41" s="292" t="s">
        <v>90</v>
      </c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6"/>
      <c r="AB41" s="336"/>
      <c r="AC41" s="304"/>
      <c r="AD41" s="304"/>
      <c r="AE41" s="304"/>
      <c r="AF41" s="304"/>
      <c r="AG41" s="304"/>
      <c r="AH41" s="304"/>
      <c r="AI41" s="304"/>
      <c r="AJ41" s="336"/>
      <c r="AK41" s="304"/>
      <c r="AL41" s="305" t="s">
        <v>368</v>
      </c>
      <c r="AM41" s="304"/>
      <c r="AN41" s="305"/>
      <c r="AO41" s="285" t="s">
        <v>368</v>
      </c>
      <c r="AP41" s="284"/>
      <c r="AQ41" s="285"/>
      <c r="AR41" s="285"/>
      <c r="AS41" s="285"/>
      <c r="AT41" s="287"/>
      <c r="AU41" s="287"/>
      <c r="AV41" s="287" t="s">
        <v>370</v>
      </c>
      <c r="AW41" s="288"/>
      <c r="AX41" s="285"/>
      <c r="AY41" s="285"/>
      <c r="AZ41" s="285" t="s">
        <v>370</v>
      </c>
      <c r="BA41" s="285" t="s">
        <v>370</v>
      </c>
      <c r="BB41" s="285"/>
      <c r="BC41" s="285"/>
      <c r="BD41" s="289"/>
      <c r="BE41" s="289"/>
      <c r="BF41" s="290"/>
      <c r="BG41" s="291"/>
      <c r="BH41" s="291"/>
      <c r="BI41" s="291"/>
      <c r="BJ41" s="291"/>
    </row>
    <row r="42" spans="1:62" ht="19.149999999999999" customHeight="1">
      <c r="A42" s="281">
        <f t="shared" si="4"/>
        <v>61</v>
      </c>
      <c r="B42" s="292" t="s">
        <v>522</v>
      </c>
      <c r="C42" s="292"/>
      <c r="D42" s="292"/>
      <c r="E42" s="292"/>
      <c r="F42" s="292"/>
      <c r="G42" s="324"/>
      <c r="H42" s="292" t="s">
        <v>90</v>
      </c>
      <c r="I42" s="307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4"/>
      <c r="AJ42" s="284"/>
      <c r="AK42" s="284"/>
      <c r="AL42" s="284"/>
      <c r="AM42" s="284" t="s">
        <v>368</v>
      </c>
      <c r="AN42" s="285"/>
      <c r="AO42" s="285"/>
      <c r="AP42" s="284"/>
      <c r="AQ42" s="285"/>
      <c r="AR42" s="285"/>
      <c r="AS42" s="285"/>
      <c r="AT42" s="287"/>
      <c r="AU42" s="287"/>
      <c r="AV42" s="287"/>
      <c r="AW42" s="288"/>
      <c r="AX42" s="285"/>
      <c r="AY42" s="285"/>
      <c r="AZ42" s="285"/>
      <c r="BA42" s="285"/>
      <c r="BB42" s="285"/>
      <c r="BC42" s="285"/>
      <c r="BD42" s="289"/>
      <c r="BE42" s="289"/>
      <c r="BF42" s="290"/>
      <c r="BG42" s="291"/>
      <c r="BH42" s="291"/>
      <c r="BI42" s="291"/>
      <c r="BJ42" s="291"/>
    </row>
    <row r="43" spans="1:62" ht="19.149999999999999" customHeight="1">
      <c r="A43" s="281">
        <f t="shared" si="4"/>
        <v>62</v>
      </c>
      <c r="B43" s="292" t="s">
        <v>523</v>
      </c>
      <c r="C43" s="292"/>
      <c r="D43" s="292"/>
      <c r="E43" s="292"/>
      <c r="F43" s="292"/>
      <c r="G43" s="324"/>
      <c r="H43" s="292" t="s">
        <v>90</v>
      </c>
      <c r="I43" s="307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  <c r="AK43" s="304"/>
      <c r="AL43" s="304"/>
      <c r="AM43" s="304" t="s">
        <v>368</v>
      </c>
      <c r="AN43" s="305"/>
      <c r="AO43" s="285"/>
      <c r="AP43" s="284"/>
      <c r="AQ43" s="285"/>
      <c r="AR43" s="285"/>
      <c r="AS43" s="285"/>
      <c r="AT43" s="287"/>
      <c r="AU43" s="287"/>
      <c r="AV43" s="287"/>
      <c r="AW43" s="288"/>
      <c r="AX43" s="285"/>
      <c r="AY43" s="285"/>
      <c r="AZ43" s="285"/>
      <c r="BA43" s="285"/>
      <c r="BB43" s="285"/>
      <c r="BC43" s="285"/>
      <c r="BD43" s="289"/>
      <c r="BE43" s="289"/>
      <c r="BF43" s="290"/>
      <c r="BG43" s="291"/>
      <c r="BH43" s="291"/>
      <c r="BI43" s="291"/>
      <c r="BJ43" s="291"/>
    </row>
    <row r="44" spans="1:62" ht="19.149999999999999" customHeight="1">
      <c r="A44" s="281">
        <f t="shared" si="4"/>
        <v>63</v>
      </c>
      <c r="B44" s="292" t="s">
        <v>524</v>
      </c>
      <c r="C44" s="292"/>
      <c r="D44" s="292"/>
      <c r="E44" s="292"/>
      <c r="F44" s="292"/>
      <c r="G44" s="324"/>
      <c r="H44" s="292" t="s">
        <v>90</v>
      </c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  <c r="AA44" s="336"/>
      <c r="AB44" s="336"/>
      <c r="AC44" s="338"/>
      <c r="AD44" s="338"/>
      <c r="AE44" s="338"/>
      <c r="AF44" s="338"/>
      <c r="AG44" s="338"/>
      <c r="AH44" s="338"/>
      <c r="AI44" s="338"/>
      <c r="AJ44" s="336"/>
      <c r="AK44" s="304"/>
      <c r="AL44" s="304"/>
      <c r="AM44" s="304"/>
      <c r="AN44" s="305"/>
      <c r="AO44" s="305"/>
      <c r="AP44" s="304"/>
      <c r="AQ44" s="305" t="s">
        <v>368</v>
      </c>
      <c r="AR44" s="285" t="s">
        <v>368</v>
      </c>
      <c r="AS44" s="285"/>
      <c r="AT44" s="287"/>
      <c r="AU44" s="287" t="s">
        <v>370</v>
      </c>
      <c r="AV44" s="287" t="s">
        <v>370</v>
      </c>
      <c r="AW44" s="288" t="s">
        <v>370</v>
      </c>
      <c r="AX44" s="285"/>
      <c r="AY44" s="285"/>
      <c r="AZ44" s="285" t="s">
        <v>370</v>
      </c>
      <c r="BA44" s="285"/>
      <c r="BB44" s="285"/>
      <c r="BC44" s="285"/>
      <c r="BD44" s="289"/>
      <c r="BE44" s="289"/>
      <c r="BF44" s="290"/>
      <c r="BG44" s="291"/>
      <c r="BH44" s="291"/>
      <c r="BI44" s="291"/>
      <c r="BJ44" s="291"/>
    </row>
    <row r="45" spans="1:62" ht="19.149999999999999" customHeight="1">
      <c r="A45" s="281">
        <f t="shared" si="4"/>
        <v>64</v>
      </c>
      <c r="B45" s="339" t="s">
        <v>525</v>
      </c>
      <c r="C45" s="339"/>
      <c r="D45" s="339"/>
      <c r="E45" s="339"/>
      <c r="F45" s="339"/>
      <c r="G45" s="340"/>
      <c r="H45" s="292" t="s">
        <v>90</v>
      </c>
      <c r="I45" s="336"/>
      <c r="J45" s="336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  <c r="AA45" s="336"/>
      <c r="AB45" s="336"/>
      <c r="AC45" s="338"/>
      <c r="AD45" s="338"/>
      <c r="AE45" s="338"/>
      <c r="AF45" s="338"/>
      <c r="AG45" s="338"/>
      <c r="AH45" s="338"/>
      <c r="AI45" s="338"/>
      <c r="AJ45" s="336"/>
      <c r="AK45" s="336"/>
      <c r="AL45" s="336"/>
      <c r="AM45" s="336"/>
      <c r="AN45" s="336"/>
      <c r="AO45" s="336"/>
      <c r="AP45" s="336"/>
      <c r="AQ45" s="336"/>
      <c r="AR45" s="336"/>
      <c r="AS45" s="336"/>
      <c r="AT45" s="287"/>
      <c r="AU45" s="287"/>
      <c r="AV45" s="287"/>
      <c r="AW45" s="288"/>
      <c r="AX45" s="285"/>
      <c r="AY45" s="285"/>
      <c r="AZ45" s="285"/>
      <c r="BA45" s="285"/>
      <c r="BB45" s="285"/>
      <c r="BC45" s="285"/>
      <c r="BD45" s="289"/>
      <c r="BE45" s="289"/>
      <c r="BF45" s="290"/>
      <c r="BG45" s="291"/>
      <c r="BH45" s="291"/>
      <c r="BI45" s="291"/>
      <c r="BJ45" s="291"/>
    </row>
    <row r="46" spans="1:62" ht="19.149999999999999" customHeight="1">
      <c r="A46" s="281">
        <f t="shared" si="4"/>
        <v>65</v>
      </c>
      <c r="B46" s="292" t="s">
        <v>526</v>
      </c>
      <c r="C46" s="292"/>
      <c r="D46" s="292"/>
      <c r="E46" s="292"/>
      <c r="F46" s="292"/>
      <c r="G46" s="324"/>
      <c r="H46" s="292" t="s">
        <v>90</v>
      </c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  <c r="AA46" s="336"/>
      <c r="AB46" s="336"/>
      <c r="AC46" s="284"/>
      <c r="AD46" s="284"/>
      <c r="AE46" s="284"/>
      <c r="AF46" s="284"/>
      <c r="AG46" s="284"/>
      <c r="AH46" s="284"/>
      <c r="AI46" s="284"/>
      <c r="AJ46" s="336"/>
      <c r="AK46" s="336"/>
      <c r="AL46" s="336"/>
      <c r="AM46" s="336"/>
      <c r="AN46" s="336"/>
      <c r="AO46" s="336"/>
      <c r="AP46" s="336"/>
      <c r="AQ46" s="336"/>
      <c r="AR46" s="336"/>
      <c r="AS46" s="336"/>
      <c r="AT46" s="287"/>
      <c r="AU46" s="287"/>
      <c r="AV46" s="287"/>
      <c r="AW46" s="288"/>
      <c r="AX46" s="285"/>
      <c r="AY46" s="285"/>
      <c r="AZ46" s="285"/>
      <c r="BA46" s="285"/>
      <c r="BB46" s="285"/>
      <c r="BC46" s="285"/>
      <c r="BD46" s="289"/>
      <c r="BE46" s="289"/>
      <c r="BF46" s="290"/>
      <c r="BG46" s="291"/>
      <c r="BH46" s="291"/>
      <c r="BI46" s="291"/>
      <c r="BJ46" s="291"/>
    </row>
    <row r="47" spans="1:62" ht="19.149999999999999" customHeight="1">
      <c r="A47" s="281">
        <f t="shared" si="4"/>
        <v>66</v>
      </c>
      <c r="B47" s="292" t="s">
        <v>527</v>
      </c>
      <c r="C47" s="292"/>
      <c r="D47" s="292"/>
      <c r="E47" s="292"/>
      <c r="F47" s="292"/>
      <c r="G47" s="324"/>
      <c r="H47" s="292" t="s">
        <v>90</v>
      </c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  <c r="AA47" s="336"/>
      <c r="AB47" s="336"/>
      <c r="AC47" s="284"/>
      <c r="AD47" s="284"/>
      <c r="AE47" s="284"/>
      <c r="AF47" s="284"/>
      <c r="AG47" s="284"/>
      <c r="AH47" s="284"/>
      <c r="AI47" s="284"/>
      <c r="AJ47" s="336"/>
      <c r="AK47" s="336"/>
      <c r="AL47" s="336"/>
      <c r="AM47" s="336"/>
      <c r="AN47" s="336"/>
      <c r="AO47" s="336"/>
      <c r="AP47" s="336"/>
      <c r="AQ47" s="336"/>
      <c r="AR47" s="336"/>
      <c r="AS47" s="336"/>
      <c r="AT47" s="287"/>
      <c r="AU47" s="287"/>
      <c r="AV47" s="287"/>
      <c r="AW47" s="288"/>
      <c r="AX47" s="285"/>
      <c r="AY47" s="285"/>
      <c r="AZ47" s="285"/>
      <c r="BA47" s="285"/>
      <c r="BB47" s="285"/>
      <c r="BC47" s="285"/>
      <c r="BD47" s="289"/>
      <c r="BE47" s="289"/>
      <c r="BF47" s="290"/>
      <c r="BG47" s="291"/>
      <c r="BH47" s="291"/>
      <c r="BI47" s="291"/>
      <c r="BJ47" s="291"/>
    </row>
    <row r="48" spans="1:62" ht="19.149999999999999" customHeight="1">
      <c r="A48" s="281">
        <f t="shared" si="4"/>
        <v>67</v>
      </c>
      <c r="B48" s="341" t="s">
        <v>528</v>
      </c>
      <c r="C48" s="341" t="s">
        <v>375</v>
      </c>
      <c r="D48" s="341" t="s">
        <v>404</v>
      </c>
      <c r="E48" s="341" t="s">
        <v>529</v>
      </c>
      <c r="F48" s="342" t="s">
        <v>530</v>
      </c>
      <c r="G48" s="322" t="s">
        <v>531</v>
      </c>
      <c r="H48" s="292" t="s">
        <v>90</v>
      </c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6"/>
      <c r="AN48" s="336"/>
      <c r="AO48" s="336"/>
      <c r="AP48" s="336"/>
      <c r="AQ48" s="336"/>
      <c r="AR48" s="336"/>
      <c r="AS48" s="336"/>
      <c r="AT48" s="343"/>
      <c r="AU48" s="343" t="s">
        <v>370</v>
      </c>
      <c r="AV48" s="343"/>
      <c r="AW48" s="344"/>
      <c r="AX48" s="305"/>
      <c r="AY48" s="285"/>
      <c r="AZ48" s="285" t="s">
        <v>370</v>
      </c>
      <c r="BA48" s="285" t="s">
        <v>370</v>
      </c>
      <c r="BB48" s="285"/>
      <c r="BC48" s="285" t="s">
        <v>370</v>
      </c>
      <c r="BD48" s="289" t="s">
        <v>370</v>
      </c>
      <c r="BE48" s="289"/>
      <c r="BF48" s="290"/>
      <c r="BG48" s="291" t="s">
        <v>370</v>
      </c>
      <c r="BH48" s="291" t="s">
        <v>370</v>
      </c>
      <c r="BI48" s="291"/>
      <c r="BJ48" s="291"/>
    </row>
    <row r="49" spans="1:62" ht="19.149999999999999" customHeight="1">
      <c r="A49" s="281">
        <f t="shared" si="4"/>
        <v>68</v>
      </c>
      <c r="B49" s="283" t="s">
        <v>532</v>
      </c>
      <c r="C49" s="283" t="s">
        <v>533</v>
      </c>
      <c r="D49" s="283" t="s">
        <v>378</v>
      </c>
      <c r="E49" s="283" t="s">
        <v>534</v>
      </c>
      <c r="F49" s="326" t="s">
        <v>535</v>
      </c>
      <c r="G49" s="345" t="s">
        <v>536</v>
      </c>
      <c r="H49" s="292" t="s">
        <v>90</v>
      </c>
      <c r="I49" s="346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3"/>
      <c r="AJ49" s="283"/>
      <c r="AK49" s="283"/>
      <c r="AL49" s="283"/>
      <c r="AM49" s="283"/>
      <c r="AN49" s="283"/>
      <c r="AO49" s="283"/>
      <c r="AP49" s="283"/>
      <c r="AQ49" s="283"/>
      <c r="AR49" s="283"/>
      <c r="AS49" s="283"/>
      <c r="AT49" s="283"/>
      <c r="AU49" s="283"/>
      <c r="AV49" s="283"/>
      <c r="AW49" s="283" t="s">
        <v>370</v>
      </c>
      <c r="AX49" s="347" t="s">
        <v>370</v>
      </c>
      <c r="AY49" s="285"/>
      <c r="AZ49" s="285" t="s">
        <v>370</v>
      </c>
      <c r="BA49" s="285" t="s">
        <v>370</v>
      </c>
      <c r="BB49" s="285"/>
      <c r="BC49" s="285" t="s">
        <v>370</v>
      </c>
      <c r="BD49" s="289"/>
      <c r="BE49" s="289"/>
      <c r="BF49" s="290"/>
      <c r="BG49" s="291"/>
      <c r="BH49" s="291"/>
      <c r="BI49" s="291"/>
      <c r="BJ49" s="291"/>
    </row>
    <row r="50" spans="1:62" ht="19.149999999999999" customHeight="1">
      <c r="A50" s="281">
        <f t="shared" si="4"/>
        <v>69</v>
      </c>
      <c r="B50" s="283" t="s">
        <v>537</v>
      </c>
      <c r="C50" s="283" t="s">
        <v>533</v>
      </c>
      <c r="D50" s="283" t="s">
        <v>404</v>
      </c>
      <c r="E50" s="283" t="s">
        <v>534</v>
      </c>
      <c r="F50" s="326" t="s">
        <v>535</v>
      </c>
      <c r="G50" s="345" t="s">
        <v>536</v>
      </c>
      <c r="H50" s="292" t="s">
        <v>90</v>
      </c>
      <c r="I50" s="346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/>
      <c r="AM50" s="283"/>
      <c r="AN50" s="283"/>
      <c r="AO50" s="283"/>
      <c r="AP50" s="283"/>
      <c r="AQ50" s="283"/>
      <c r="AR50" s="283"/>
      <c r="AS50" s="283"/>
      <c r="AT50" s="283"/>
      <c r="AU50" s="283"/>
      <c r="AV50" s="283"/>
      <c r="AW50" s="283"/>
      <c r="AX50" s="347" t="s">
        <v>370</v>
      </c>
      <c r="AY50" s="285"/>
      <c r="AZ50" s="285" t="s">
        <v>370</v>
      </c>
      <c r="BA50" s="285"/>
      <c r="BB50" s="285"/>
      <c r="BC50" s="285" t="s">
        <v>370</v>
      </c>
      <c r="BD50" s="289"/>
      <c r="BE50" s="289"/>
      <c r="BF50" s="290"/>
      <c r="BG50" s="291"/>
      <c r="BH50" s="291"/>
      <c r="BI50" s="291"/>
      <c r="BJ50" s="291"/>
    </row>
    <row r="51" spans="1:62" ht="19.149999999999999" customHeight="1">
      <c r="A51" s="281">
        <f t="shared" si="4"/>
        <v>70</v>
      </c>
      <c r="B51" s="283" t="s">
        <v>538</v>
      </c>
      <c r="C51" s="283" t="s">
        <v>539</v>
      </c>
      <c r="D51" s="283" t="s">
        <v>404</v>
      </c>
      <c r="E51" s="283" t="s">
        <v>534</v>
      </c>
      <c r="F51" s="326" t="s">
        <v>535</v>
      </c>
      <c r="G51" s="345" t="s">
        <v>536</v>
      </c>
      <c r="H51" s="292" t="s">
        <v>90</v>
      </c>
      <c r="I51" s="346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  <c r="AN51" s="283"/>
      <c r="AO51" s="283"/>
      <c r="AP51" s="283"/>
      <c r="AQ51" s="283"/>
      <c r="AR51" s="283"/>
      <c r="AS51" s="283"/>
      <c r="AT51" s="283"/>
      <c r="AU51" s="283"/>
      <c r="AV51" s="283"/>
      <c r="AW51" s="283"/>
      <c r="AX51" s="347" t="s">
        <v>370</v>
      </c>
      <c r="AY51" s="285"/>
      <c r="AZ51" s="285"/>
      <c r="BA51" s="285"/>
      <c r="BB51" s="285"/>
      <c r="BC51" s="285"/>
      <c r="BD51" s="289"/>
      <c r="BE51" s="289"/>
      <c r="BF51" s="290"/>
      <c r="BG51" s="291"/>
      <c r="BH51" s="291"/>
      <c r="BI51" s="291"/>
      <c r="BJ51" s="291"/>
    </row>
    <row r="52" spans="1:62" ht="19.149999999999999" customHeight="1">
      <c r="A52" s="348">
        <f t="shared" si="4"/>
        <v>71</v>
      </c>
      <c r="B52" s="349" t="s">
        <v>540</v>
      </c>
      <c r="C52" s="349" t="s">
        <v>541</v>
      </c>
      <c r="D52" s="349" t="s">
        <v>378</v>
      </c>
      <c r="E52" s="349" t="s">
        <v>542</v>
      </c>
      <c r="F52" s="349" t="s">
        <v>543</v>
      </c>
      <c r="G52" s="350" t="s">
        <v>544</v>
      </c>
      <c r="H52" s="292" t="s">
        <v>90</v>
      </c>
      <c r="I52" s="351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  <c r="AE52" s="349"/>
      <c r="AF52" s="349"/>
      <c r="AG52" s="349"/>
      <c r="AH52" s="349"/>
      <c r="AI52" s="349"/>
      <c r="AJ52" s="349"/>
      <c r="AK52" s="349"/>
      <c r="AL52" s="349"/>
      <c r="AM52" s="349"/>
      <c r="AN52" s="349"/>
      <c r="AO52" s="349"/>
      <c r="AP52" s="349"/>
      <c r="AQ52" s="349"/>
      <c r="AR52" s="349"/>
      <c r="AS52" s="349"/>
      <c r="AT52" s="349"/>
      <c r="AU52" s="349"/>
      <c r="AV52" s="349"/>
      <c r="AW52" s="349"/>
      <c r="AX52" s="352" t="s">
        <v>370</v>
      </c>
      <c r="AY52" s="305"/>
      <c r="AZ52" s="305" t="s">
        <v>370</v>
      </c>
      <c r="BA52" s="305"/>
      <c r="BB52" s="285"/>
      <c r="BC52" s="285"/>
      <c r="BD52" s="289"/>
      <c r="BE52" s="289" t="s">
        <v>370</v>
      </c>
      <c r="BF52" s="290"/>
      <c r="BG52" s="291"/>
      <c r="BH52" s="291"/>
      <c r="BI52" s="291"/>
      <c r="BJ52" s="291"/>
    </row>
    <row r="53" spans="1:62" ht="19.149999999999999" customHeight="1">
      <c r="A53" s="348">
        <f t="shared" si="4"/>
        <v>72</v>
      </c>
      <c r="B53" s="349" t="s">
        <v>545</v>
      </c>
      <c r="C53" s="349"/>
      <c r="D53" s="349"/>
      <c r="E53" s="349"/>
      <c r="F53" s="349"/>
      <c r="G53" s="352"/>
      <c r="H53" s="292" t="s">
        <v>90</v>
      </c>
      <c r="I53" s="317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  <c r="AH53" s="304"/>
      <c r="AI53" s="304"/>
      <c r="AJ53" s="304"/>
      <c r="AK53" s="304"/>
      <c r="AL53" s="304"/>
      <c r="AM53" s="304"/>
      <c r="AN53" s="304"/>
      <c r="AO53" s="304"/>
      <c r="AP53" s="304"/>
      <c r="AQ53" s="304"/>
      <c r="AR53" s="304"/>
      <c r="AS53" s="304"/>
      <c r="AT53" s="304"/>
      <c r="AU53" s="304"/>
      <c r="AV53" s="304"/>
      <c r="AW53" s="304"/>
      <c r="AX53" s="304"/>
      <c r="AY53" s="304"/>
      <c r="AZ53" s="304" t="s">
        <v>370</v>
      </c>
      <c r="BA53" s="305"/>
      <c r="BB53" s="305"/>
      <c r="BC53" s="305"/>
      <c r="BD53" s="289"/>
      <c r="BE53" s="289"/>
      <c r="BF53" s="290"/>
      <c r="BG53" s="291"/>
      <c r="BH53" s="291"/>
      <c r="BI53" s="291"/>
      <c r="BJ53" s="291"/>
    </row>
    <row r="54" spans="1:62" ht="19.149999999999999" customHeight="1">
      <c r="A54" s="348">
        <f t="shared" si="4"/>
        <v>73</v>
      </c>
      <c r="B54" s="353" t="s">
        <v>415</v>
      </c>
      <c r="C54" s="353" t="s">
        <v>372</v>
      </c>
      <c r="D54" s="353" t="s">
        <v>378</v>
      </c>
      <c r="E54" s="353" t="s">
        <v>12</v>
      </c>
      <c r="F54" s="354" t="s">
        <v>64</v>
      </c>
      <c r="G54" s="545" t="s">
        <v>14</v>
      </c>
      <c r="H54" s="292" t="s">
        <v>90</v>
      </c>
      <c r="I54" s="355"/>
      <c r="J54" s="356"/>
      <c r="K54" s="356"/>
      <c r="L54" s="356"/>
      <c r="M54" s="356"/>
      <c r="N54" s="356"/>
      <c r="O54" s="356"/>
      <c r="P54" s="356"/>
      <c r="Q54" s="356"/>
      <c r="R54" s="356"/>
      <c r="S54" s="356"/>
      <c r="T54" s="356"/>
      <c r="U54" s="356" t="s">
        <v>368</v>
      </c>
      <c r="V54" s="356" t="s">
        <v>368</v>
      </c>
      <c r="W54" s="356"/>
      <c r="X54" s="356"/>
      <c r="Y54" s="356"/>
      <c r="Z54" s="356"/>
      <c r="AA54" s="356"/>
      <c r="AB54" s="356"/>
      <c r="AC54" s="356"/>
      <c r="AD54" s="356" t="s">
        <v>368</v>
      </c>
      <c r="AE54" s="356"/>
      <c r="AF54" s="356"/>
      <c r="AG54" s="356"/>
      <c r="AH54" s="356"/>
      <c r="AI54" s="356" t="s">
        <v>368</v>
      </c>
      <c r="AJ54" s="356"/>
      <c r="AK54" s="356"/>
      <c r="AL54" s="356"/>
      <c r="AM54" s="356"/>
      <c r="AN54" s="356"/>
      <c r="AO54" s="356"/>
      <c r="AP54" s="356"/>
      <c r="AQ54" s="356"/>
      <c r="AR54" s="356"/>
      <c r="AS54" s="356"/>
      <c r="AT54" s="356"/>
      <c r="AU54" s="356"/>
      <c r="AV54" s="356" t="s">
        <v>370</v>
      </c>
      <c r="AW54" s="356"/>
      <c r="AX54" s="284" t="s">
        <v>370</v>
      </c>
      <c r="AY54" s="284"/>
      <c r="AZ54" s="284"/>
      <c r="BA54" s="284"/>
      <c r="BB54" s="284" t="s">
        <v>370</v>
      </c>
      <c r="BC54" s="285" t="s">
        <v>370</v>
      </c>
      <c r="BD54" s="289"/>
      <c r="BE54" s="289"/>
      <c r="BF54" s="290"/>
      <c r="BG54" s="291"/>
      <c r="BH54" s="291" t="s">
        <v>370</v>
      </c>
      <c r="BI54" s="291"/>
      <c r="BJ54" s="291"/>
    </row>
    <row r="55" spans="1:62" ht="19.149999999999999" customHeight="1">
      <c r="A55" s="348">
        <f t="shared" si="4"/>
        <v>74</v>
      </c>
      <c r="B55" s="357" t="s">
        <v>546</v>
      </c>
      <c r="C55" s="357" t="s">
        <v>446</v>
      </c>
      <c r="D55" s="283" t="s">
        <v>378</v>
      </c>
      <c r="E55" s="358" t="s">
        <v>447</v>
      </c>
      <c r="F55" s="357" t="s">
        <v>448</v>
      </c>
      <c r="G55" s="359" t="s">
        <v>449</v>
      </c>
      <c r="H55" s="292" t="s">
        <v>90</v>
      </c>
      <c r="I55" s="307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4"/>
      <c r="AE55" s="284"/>
      <c r="AF55" s="284"/>
      <c r="AG55" s="284"/>
      <c r="AH55" s="284"/>
      <c r="AI55" s="284"/>
      <c r="AJ55" s="284"/>
      <c r="AK55" s="284"/>
      <c r="AL55" s="284"/>
      <c r="AM55" s="284"/>
      <c r="AN55" s="284"/>
      <c r="AO55" s="284"/>
      <c r="AP55" s="284"/>
      <c r="AQ55" s="284"/>
      <c r="AR55" s="284"/>
      <c r="AS55" s="284"/>
      <c r="AT55" s="284"/>
      <c r="AU55" s="284"/>
      <c r="AV55" s="284"/>
      <c r="AW55" s="284"/>
      <c r="AX55" s="284"/>
      <c r="AY55" s="284"/>
      <c r="AZ55" s="284" t="s">
        <v>370</v>
      </c>
      <c r="BA55" s="284" t="s">
        <v>370</v>
      </c>
      <c r="BB55" s="284" t="s">
        <v>370</v>
      </c>
      <c r="BC55" s="285" t="s">
        <v>370</v>
      </c>
      <c r="BD55" s="289" t="s">
        <v>370</v>
      </c>
      <c r="BE55" s="289" t="s">
        <v>370</v>
      </c>
      <c r="BF55" s="290"/>
      <c r="BG55" s="291" t="s">
        <v>370</v>
      </c>
      <c r="BH55" s="291" t="s">
        <v>370</v>
      </c>
      <c r="BI55" s="291"/>
      <c r="BJ55" s="291"/>
    </row>
    <row r="56" spans="1:62" ht="19.149999999999999" customHeight="1">
      <c r="A56" s="348">
        <f t="shared" si="4"/>
        <v>75</v>
      </c>
      <c r="B56" s="349" t="s">
        <v>547</v>
      </c>
      <c r="C56" s="349" t="s">
        <v>548</v>
      </c>
      <c r="D56" s="349" t="s">
        <v>404</v>
      </c>
      <c r="E56" s="349" t="s">
        <v>549</v>
      </c>
      <c r="F56" s="325" t="s">
        <v>550</v>
      </c>
      <c r="G56" s="352"/>
      <c r="H56" s="292" t="s">
        <v>90</v>
      </c>
      <c r="I56" s="317"/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04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04"/>
      <c r="AY56" s="304"/>
      <c r="AZ56" s="304"/>
      <c r="BA56" s="304"/>
      <c r="BB56" s="304"/>
      <c r="BC56" s="360" t="s">
        <v>370</v>
      </c>
      <c r="BD56" s="361" t="s">
        <v>370</v>
      </c>
      <c r="BE56" s="361"/>
      <c r="BF56" s="362"/>
      <c r="BG56" s="291"/>
      <c r="BH56" s="291"/>
      <c r="BI56" s="291"/>
      <c r="BJ56" s="291"/>
    </row>
    <row r="57" spans="1:62" ht="19.149999999999999" customHeight="1">
      <c r="A57" s="363">
        <f t="shared" si="4"/>
        <v>76</v>
      </c>
      <c r="B57" s="341" t="s">
        <v>551</v>
      </c>
      <c r="C57" s="341"/>
      <c r="D57" s="341"/>
      <c r="E57" s="341"/>
      <c r="F57" s="341"/>
      <c r="G57" s="364"/>
      <c r="H57" s="341" t="s">
        <v>90</v>
      </c>
      <c r="I57" s="365"/>
      <c r="J57" s="341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1"/>
      <c r="AX57" s="341"/>
      <c r="AY57" s="341"/>
      <c r="AZ57" s="341"/>
      <c r="BA57" s="341"/>
      <c r="BB57" s="341"/>
      <c r="BC57" s="361"/>
      <c r="BD57" s="361" t="s">
        <v>370</v>
      </c>
      <c r="BE57" s="361"/>
      <c r="BF57" s="362"/>
      <c r="BG57" s="366"/>
      <c r="BH57" s="366"/>
      <c r="BI57" s="366"/>
      <c r="BJ57" s="366"/>
    </row>
    <row r="58" spans="1:62" ht="19.149999999999999" customHeight="1">
      <c r="A58" s="363">
        <f t="shared" si="4"/>
        <v>77</v>
      </c>
      <c r="B58" s="292" t="s">
        <v>552</v>
      </c>
      <c r="C58" s="292"/>
      <c r="D58" s="292"/>
      <c r="E58" s="292"/>
      <c r="F58" s="292"/>
      <c r="G58" s="292"/>
      <c r="H58" s="292" t="s">
        <v>90</v>
      </c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367" t="s">
        <v>370</v>
      </c>
      <c r="BH58" s="367" t="s">
        <v>370</v>
      </c>
      <c r="BI58" s="367" t="s">
        <v>370</v>
      </c>
      <c r="BJ58" s="367"/>
    </row>
    <row r="59" spans="1:62" ht="19.149999999999999" customHeight="1">
      <c r="A59" s="1">
        <v>78</v>
      </c>
      <c r="B59" s="292" t="s">
        <v>553</v>
      </c>
      <c r="C59" s="292"/>
      <c r="D59" s="292"/>
      <c r="E59" s="292"/>
      <c r="F59" s="292"/>
      <c r="G59" s="292"/>
      <c r="H59" s="292" t="s">
        <v>90</v>
      </c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  <c r="AU59" s="289"/>
      <c r="AV59" s="289"/>
      <c r="AW59" s="289"/>
      <c r="AX59" s="289"/>
      <c r="AY59" s="289"/>
      <c r="AZ59" s="289"/>
      <c r="BA59" s="289"/>
      <c r="BB59" s="289"/>
      <c r="BC59" s="289"/>
      <c r="BD59" s="289"/>
      <c r="BE59" s="289"/>
      <c r="BF59" s="289"/>
      <c r="BG59" s="367"/>
      <c r="BH59" s="367" t="s">
        <v>370</v>
      </c>
      <c r="BI59" s="367"/>
      <c r="BJ59" s="367"/>
    </row>
    <row r="60" spans="1:62" ht="19.149999999999999" customHeight="1">
      <c r="A60" s="1">
        <v>79</v>
      </c>
      <c r="B60" s="292" t="s">
        <v>554</v>
      </c>
      <c r="C60" s="292"/>
      <c r="D60" s="292"/>
      <c r="E60" s="292"/>
      <c r="F60" s="292"/>
      <c r="G60" s="292"/>
      <c r="H60" s="292" t="s">
        <v>90</v>
      </c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89"/>
      <c r="AS60" s="289"/>
      <c r="AT60" s="289"/>
      <c r="AU60" s="289"/>
      <c r="AV60" s="289"/>
      <c r="AW60" s="289"/>
      <c r="AX60" s="289"/>
      <c r="AY60" s="289"/>
      <c r="AZ60" s="289"/>
      <c r="BA60" s="289"/>
      <c r="BB60" s="289"/>
      <c r="BC60" s="289"/>
      <c r="BD60" s="289"/>
      <c r="BE60" s="289"/>
      <c r="BF60" s="289"/>
      <c r="BG60" s="367"/>
      <c r="BH60" s="367"/>
      <c r="BI60" s="367" t="s">
        <v>370</v>
      </c>
      <c r="BJ60" s="367"/>
    </row>
    <row r="61" spans="1:62" ht="19.149999999999999" customHeight="1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70"/>
      <c r="BH61" s="170"/>
      <c r="BI61" s="170"/>
      <c r="BJ61" s="170"/>
    </row>
    <row r="62" spans="1:62" ht="19.149999999999999" customHeight="1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70"/>
      <c r="BH62" s="170"/>
      <c r="BI62" s="170"/>
      <c r="BJ62" s="170"/>
    </row>
    <row r="63" spans="1:62" ht="19.149999999999999" customHeight="1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70"/>
      <c r="BH63" s="170"/>
      <c r="BI63" s="170"/>
      <c r="BJ63" s="170"/>
    </row>
    <row r="64" spans="1:62" ht="19.149999999999999" customHeight="1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70"/>
      <c r="BH64" s="170"/>
      <c r="BI64" s="170"/>
      <c r="BJ64" s="170"/>
    </row>
    <row r="65" spans="1:62" ht="19.149999999999999" customHeight="1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70"/>
      <c r="BH65" s="170"/>
      <c r="BI65" s="170"/>
      <c r="BJ65" s="170"/>
    </row>
    <row r="66" spans="1:62" ht="19.149999999999999" customHeight="1">
      <c r="A66"/>
      <c r="B66"/>
      <c r="C66"/>
      <c r="D66"/>
      <c r="E66"/>
      <c r="F66"/>
      <c r="G66"/>
      <c r="H66"/>
    </row>
    <row r="67" spans="1:62" ht="19.149999999999999" customHeight="1">
      <c r="A67"/>
      <c r="B67"/>
      <c r="C67"/>
      <c r="D67"/>
      <c r="E67"/>
      <c r="F67"/>
      <c r="G67"/>
      <c r="H67"/>
    </row>
    <row r="68" spans="1:62" ht="19.149999999999999" customHeight="1">
      <c r="A68"/>
      <c r="B68"/>
      <c r="C68"/>
      <c r="D68"/>
      <c r="E68"/>
      <c r="F68"/>
      <c r="G68"/>
      <c r="H68"/>
    </row>
    <row r="69" spans="1:62" ht="19.149999999999999" customHeight="1">
      <c r="A69"/>
      <c r="B69"/>
      <c r="C69"/>
      <c r="D69"/>
      <c r="E69"/>
      <c r="F69"/>
      <c r="G69"/>
      <c r="H69"/>
    </row>
    <row r="70" spans="1:62" ht="19.149999999999999" customHeight="1">
      <c r="A70"/>
      <c r="B70"/>
      <c r="C70"/>
      <c r="D70"/>
      <c r="E70"/>
      <c r="F70"/>
      <c r="G70"/>
      <c r="H70"/>
    </row>
    <row r="71" spans="1:62" ht="19.149999999999999" customHeight="1">
      <c r="A71"/>
      <c r="B71"/>
      <c r="C71"/>
      <c r="D71"/>
      <c r="E71"/>
      <c r="F71"/>
      <c r="G71"/>
      <c r="H71"/>
    </row>
    <row r="72" spans="1:62" ht="19.149999999999999" customHeight="1">
      <c r="A72"/>
      <c r="B72"/>
      <c r="C72"/>
      <c r="D72"/>
      <c r="E72"/>
      <c r="F72"/>
      <c r="G72"/>
      <c r="H72"/>
    </row>
    <row r="73" spans="1:62" ht="19.149999999999999" customHeight="1">
      <c r="A73"/>
      <c r="B73"/>
      <c r="C73"/>
      <c r="D73"/>
      <c r="E73"/>
      <c r="F73"/>
      <c r="G73"/>
      <c r="H73"/>
    </row>
    <row r="74" spans="1:62" ht="19.149999999999999" customHeight="1">
      <c r="A74"/>
      <c r="B74"/>
      <c r="C74"/>
      <c r="D74"/>
      <c r="E74"/>
      <c r="F74"/>
      <c r="G74"/>
      <c r="H74"/>
    </row>
    <row r="75" spans="1:62" ht="19.149999999999999" customHeight="1">
      <c r="A75"/>
      <c r="B75"/>
      <c r="C75"/>
      <c r="D75"/>
      <c r="E75"/>
      <c r="F75"/>
      <c r="G75"/>
      <c r="H75"/>
    </row>
    <row r="76" spans="1:62" ht="19.149999999999999" customHeight="1">
      <c r="A76"/>
      <c r="B76"/>
      <c r="C76"/>
      <c r="D76"/>
      <c r="E76"/>
      <c r="F76"/>
      <c r="G76"/>
      <c r="H76"/>
    </row>
    <row r="77" spans="1:62" ht="19.149999999999999" customHeight="1">
      <c r="A77"/>
      <c r="B77"/>
      <c r="C77"/>
      <c r="D77"/>
      <c r="E77"/>
      <c r="F77"/>
      <c r="G77"/>
      <c r="H77"/>
    </row>
    <row r="78" spans="1:62" ht="19.149999999999999" customHeight="1">
      <c r="A78"/>
      <c r="B78"/>
      <c r="C78"/>
      <c r="D78"/>
      <c r="E78"/>
      <c r="F78"/>
      <c r="G78"/>
      <c r="H78"/>
    </row>
    <row r="79" spans="1:62" ht="19.149999999999999" customHeight="1">
      <c r="A79"/>
      <c r="B79"/>
      <c r="C79"/>
      <c r="D79"/>
      <c r="E79"/>
      <c r="F79"/>
      <c r="G79"/>
      <c r="H79"/>
    </row>
    <row r="80" spans="1:62" ht="19.149999999999999" customHeight="1">
      <c r="A80"/>
      <c r="B80"/>
      <c r="C80"/>
      <c r="D80"/>
      <c r="E80"/>
      <c r="F80"/>
      <c r="G80"/>
      <c r="H80"/>
    </row>
    <row r="81" spans="59:62" customFormat="1" ht="19.149999999999999" customHeight="1">
      <c r="BG81" s="2"/>
      <c r="BH81" s="2"/>
      <c r="BI81" s="2"/>
      <c r="BJ81" s="2"/>
    </row>
    <row r="82" spans="59:62" customFormat="1" ht="19.149999999999999" customHeight="1">
      <c r="BG82" s="2"/>
      <c r="BH82" s="2"/>
      <c r="BI82" s="2"/>
      <c r="BJ82" s="2"/>
    </row>
    <row r="83" spans="59:62" customFormat="1" ht="19.149999999999999" customHeight="1">
      <c r="BG83" s="2"/>
      <c r="BH83" s="2"/>
      <c r="BI83" s="2"/>
      <c r="BJ83" s="2"/>
    </row>
    <row r="84" spans="59:62" customFormat="1" ht="19.149999999999999" customHeight="1">
      <c r="BG84" s="2"/>
      <c r="BH84" s="2"/>
      <c r="BI84" s="2"/>
      <c r="BJ84" s="2"/>
    </row>
    <row r="85" spans="59:62" customFormat="1" ht="19.149999999999999" customHeight="1">
      <c r="BG85" s="2"/>
      <c r="BH85" s="2"/>
      <c r="BI85" s="2"/>
      <c r="BJ85" s="2"/>
    </row>
    <row r="86" spans="59:62" customFormat="1" ht="19.149999999999999" customHeight="1">
      <c r="BG86" s="2"/>
      <c r="BH86" s="2"/>
      <c r="BI86" s="2"/>
      <c r="BJ86" s="2"/>
    </row>
    <row r="87" spans="59:62" customFormat="1" ht="19.149999999999999" customHeight="1">
      <c r="BG87" s="2"/>
      <c r="BH87" s="2"/>
      <c r="BI87" s="2"/>
      <c r="BJ87" s="2"/>
    </row>
    <row r="88" spans="59:62" customFormat="1" ht="19.149999999999999" customHeight="1">
      <c r="BG88" s="2"/>
      <c r="BH88" s="2"/>
      <c r="BI88" s="2"/>
      <c r="BJ88" s="2"/>
    </row>
    <row r="89" spans="59:62" customFormat="1" ht="19.149999999999999" customHeight="1">
      <c r="BG89" s="2"/>
      <c r="BH89" s="2"/>
      <c r="BI89" s="2"/>
      <c r="BJ89" s="2"/>
    </row>
    <row r="90" spans="59:62" customFormat="1" ht="19.149999999999999" customHeight="1">
      <c r="BG90" s="2"/>
      <c r="BH90" s="2"/>
      <c r="BI90" s="2"/>
      <c r="BJ90" s="2"/>
    </row>
    <row r="91" spans="59:62" customFormat="1" ht="19.149999999999999" customHeight="1">
      <c r="BG91" s="2"/>
      <c r="BH91" s="2"/>
      <c r="BI91" s="2"/>
      <c r="BJ91" s="2"/>
    </row>
    <row r="92" spans="59:62" customFormat="1" ht="19.149999999999999" customHeight="1">
      <c r="BG92" s="2"/>
      <c r="BH92" s="2"/>
      <c r="BI92" s="2"/>
      <c r="BJ92" s="2"/>
    </row>
    <row r="93" spans="59:62" customFormat="1" ht="19.149999999999999" customHeight="1">
      <c r="BG93" s="2"/>
      <c r="BH93" s="2"/>
      <c r="BI93" s="2"/>
      <c r="BJ93" s="2"/>
    </row>
    <row r="94" spans="59:62" customFormat="1" ht="19.149999999999999" customHeight="1">
      <c r="BG94" s="2"/>
      <c r="BH94" s="2"/>
      <c r="BI94" s="2"/>
      <c r="BJ94" s="2"/>
    </row>
    <row r="95" spans="59:62" customFormat="1" ht="19.149999999999999" customHeight="1">
      <c r="BG95" s="2"/>
      <c r="BH95" s="2"/>
      <c r="BI95" s="2"/>
      <c r="BJ95" s="2"/>
    </row>
    <row r="96" spans="59:62" customFormat="1" ht="19.149999999999999" customHeight="1">
      <c r="BG96" s="2"/>
      <c r="BH96" s="2"/>
      <c r="BI96" s="2"/>
      <c r="BJ96" s="2"/>
    </row>
    <row r="97" spans="59:62" customFormat="1" ht="19.149999999999999" customHeight="1">
      <c r="BG97" s="2"/>
      <c r="BH97" s="2"/>
      <c r="BI97" s="2"/>
      <c r="BJ97" s="2"/>
    </row>
    <row r="98" spans="59:62" customFormat="1" ht="19.149999999999999" customHeight="1">
      <c r="BG98" s="2"/>
      <c r="BH98" s="2"/>
      <c r="BI98" s="2"/>
      <c r="BJ98" s="2"/>
    </row>
    <row r="99" spans="59:62" customFormat="1" ht="19.149999999999999" customHeight="1">
      <c r="BG99" s="2"/>
      <c r="BH99" s="2"/>
      <c r="BI99" s="2"/>
      <c r="BJ99" s="2"/>
    </row>
    <row r="100" spans="59:62" customFormat="1" ht="19.149999999999999" customHeight="1">
      <c r="BG100" s="2"/>
      <c r="BH100" s="2"/>
      <c r="BI100" s="2"/>
      <c r="BJ100" s="2"/>
    </row>
    <row r="101" spans="59:62" customFormat="1" ht="19.149999999999999" customHeight="1">
      <c r="BG101" s="2"/>
      <c r="BH101" s="2"/>
      <c r="BI101" s="2"/>
      <c r="BJ101" s="2"/>
    </row>
    <row r="102" spans="59:62" customFormat="1" ht="19.149999999999999" customHeight="1">
      <c r="BG102" s="2"/>
      <c r="BH102" s="2"/>
      <c r="BI102" s="2"/>
      <c r="BJ102" s="2"/>
    </row>
    <row r="103" spans="59:62" customFormat="1" ht="19.149999999999999" customHeight="1">
      <c r="BG103" s="2"/>
      <c r="BH103" s="2"/>
      <c r="BI103" s="2"/>
      <c r="BJ103" s="2"/>
    </row>
    <row r="104" spans="59:62" customFormat="1" ht="19.149999999999999" customHeight="1">
      <c r="BG104" s="2"/>
      <c r="BH104" s="2"/>
      <c r="BI104" s="2"/>
      <c r="BJ104" s="2"/>
    </row>
    <row r="105" spans="59:62" customFormat="1" ht="19.149999999999999" customHeight="1">
      <c r="BG105" s="2"/>
      <c r="BH105" s="2"/>
      <c r="BI105" s="2"/>
      <c r="BJ105" s="2"/>
    </row>
    <row r="106" spans="59:62" customFormat="1" ht="19.149999999999999" customHeight="1">
      <c r="BG106" s="2"/>
      <c r="BH106" s="2"/>
      <c r="BI106" s="2"/>
      <c r="BJ106" s="2"/>
    </row>
    <row r="107" spans="59:62" customFormat="1" ht="19.149999999999999" customHeight="1">
      <c r="BG107" s="2"/>
      <c r="BH107" s="2"/>
      <c r="BI107" s="2"/>
      <c r="BJ107" s="2"/>
    </row>
    <row r="108" spans="59:62" customFormat="1" ht="19.149999999999999" customHeight="1">
      <c r="BG108" s="2"/>
      <c r="BH108" s="2"/>
      <c r="BI108" s="2"/>
      <c r="BJ108" s="2"/>
    </row>
    <row r="109" spans="59:62" customFormat="1" ht="19.149999999999999" customHeight="1">
      <c r="BG109" s="2"/>
      <c r="BH109" s="2"/>
      <c r="BI109" s="2"/>
      <c r="BJ109" s="2"/>
    </row>
    <row r="110" spans="59:62" customFormat="1" ht="19.149999999999999" customHeight="1">
      <c r="BG110" s="2"/>
      <c r="BH110" s="2"/>
      <c r="BI110" s="2"/>
      <c r="BJ110" s="2"/>
    </row>
    <row r="111" spans="59:62" customFormat="1" ht="19.149999999999999" customHeight="1">
      <c r="BG111" s="2"/>
      <c r="BH111" s="2"/>
      <c r="BI111" s="2"/>
      <c r="BJ111" s="2"/>
    </row>
    <row r="112" spans="59:62" customFormat="1" ht="19.149999999999999" customHeight="1">
      <c r="BG112" s="2"/>
      <c r="BH112" s="2"/>
      <c r="BI112" s="2"/>
      <c r="BJ112" s="2"/>
    </row>
    <row r="113" spans="59:62" customFormat="1" ht="19.149999999999999" customHeight="1">
      <c r="BG113" s="2"/>
      <c r="BH113" s="2"/>
      <c r="BI113" s="2"/>
      <c r="BJ113" s="2"/>
    </row>
    <row r="114" spans="59:62" customFormat="1" ht="19.149999999999999" customHeight="1">
      <c r="BG114" s="2"/>
      <c r="BH114" s="2"/>
      <c r="BI114" s="2"/>
      <c r="BJ114" s="2"/>
    </row>
    <row r="115" spans="59:62" customFormat="1" ht="19.149999999999999" customHeight="1">
      <c r="BG115" s="2"/>
      <c r="BH115" s="2"/>
      <c r="BI115" s="2"/>
      <c r="BJ115" s="2"/>
    </row>
    <row r="116" spans="59:62" customFormat="1" ht="19.149999999999999" customHeight="1">
      <c r="BG116" s="2"/>
      <c r="BH116" s="2"/>
      <c r="BI116" s="2"/>
      <c r="BJ116" s="2"/>
    </row>
    <row r="117" spans="59:62" customFormat="1" ht="19.149999999999999" customHeight="1">
      <c r="BG117" s="2"/>
      <c r="BH117" s="2"/>
      <c r="BI117" s="2"/>
      <c r="BJ117" s="2"/>
    </row>
    <row r="118" spans="59:62" customFormat="1" ht="19.149999999999999" customHeight="1">
      <c r="BG118" s="2"/>
      <c r="BH118" s="2"/>
      <c r="BI118" s="2"/>
      <c r="BJ118" s="2"/>
    </row>
    <row r="119" spans="59:62" customFormat="1" ht="19.149999999999999" customHeight="1">
      <c r="BG119" s="2"/>
      <c r="BH119" s="2"/>
      <c r="BI119" s="2"/>
      <c r="BJ119" s="2"/>
    </row>
    <row r="120" spans="59:62" customFormat="1" ht="19.149999999999999" customHeight="1">
      <c r="BG120" s="2"/>
      <c r="BH120" s="2"/>
      <c r="BI120" s="2"/>
      <c r="BJ120" s="2"/>
    </row>
    <row r="121" spans="59:62" customFormat="1" ht="19.149999999999999" customHeight="1">
      <c r="BG121" s="2"/>
      <c r="BH121" s="2"/>
      <c r="BI121" s="2"/>
      <c r="BJ121" s="2"/>
    </row>
    <row r="122" spans="59:62" customFormat="1" ht="19.149999999999999" customHeight="1">
      <c r="BG122" s="2"/>
      <c r="BH122" s="2"/>
      <c r="BI122" s="2"/>
      <c r="BJ122" s="2"/>
    </row>
    <row r="123" spans="59:62" customFormat="1" ht="19.149999999999999" customHeight="1">
      <c r="BG123" s="2"/>
      <c r="BH123" s="2"/>
      <c r="BI123" s="2"/>
      <c r="BJ123" s="2"/>
    </row>
    <row r="124" spans="59:62" customFormat="1" ht="19.149999999999999" customHeight="1">
      <c r="BG124" s="2"/>
      <c r="BH124" s="2"/>
      <c r="BI124" s="2"/>
      <c r="BJ124" s="2"/>
    </row>
    <row r="125" spans="59:62" customFormat="1" ht="19.149999999999999" customHeight="1">
      <c r="BG125" s="2"/>
      <c r="BH125" s="2"/>
      <c r="BI125" s="2"/>
      <c r="BJ125" s="2"/>
    </row>
    <row r="126" spans="59:62" customFormat="1" ht="19.149999999999999" customHeight="1">
      <c r="BG126" s="2"/>
      <c r="BH126" s="2"/>
      <c r="BI126" s="2"/>
      <c r="BJ126" s="2"/>
    </row>
    <row r="127" spans="59:62" customFormat="1" ht="19.149999999999999" customHeight="1">
      <c r="BG127" s="2"/>
      <c r="BH127" s="2"/>
      <c r="BI127" s="2"/>
      <c r="BJ127" s="2"/>
    </row>
    <row r="128" spans="59:62" customFormat="1" ht="19.149999999999999" customHeight="1">
      <c r="BG128" s="2"/>
      <c r="BH128" s="2"/>
      <c r="BI128" s="2"/>
      <c r="BJ128" s="2"/>
    </row>
    <row r="129" spans="59:62" customFormat="1" ht="19.149999999999999" customHeight="1">
      <c r="BG129" s="2"/>
      <c r="BH129" s="2"/>
      <c r="BI129" s="2"/>
      <c r="BJ129" s="2"/>
    </row>
    <row r="130" spans="59:62" customFormat="1" ht="19.149999999999999" customHeight="1">
      <c r="BG130" s="2"/>
      <c r="BH130" s="2"/>
      <c r="BI130" s="2"/>
      <c r="BJ130" s="2"/>
    </row>
    <row r="131" spans="59:62" customFormat="1" ht="19.149999999999999" customHeight="1">
      <c r="BG131" s="2"/>
      <c r="BH131" s="2"/>
      <c r="BI131" s="2"/>
      <c r="BJ131" s="2"/>
    </row>
    <row r="132" spans="59:62" customFormat="1" ht="19.149999999999999" customHeight="1">
      <c r="BG132" s="2"/>
      <c r="BH132" s="2"/>
      <c r="BI132" s="2"/>
      <c r="BJ132" s="2"/>
    </row>
    <row r="133" spans="59:62" customFormat="1" ht="19.149999999999999" customHeight="1">
      <c r="BG133" s="2"/>
      <c r="BH133" s="2"/>
      <c r="BI133" s="2"/>
      <c r="BJ133" s="2"/>
    </row>
    <row r="134" spans="59:62" customFormat="1" ht="19.149999999999999" customHeight="1">
      <c r="BG134" s="2"/>
      <c r="BH134" s="2"/>
      <c r="BI134" s="2"/>
      <c r="BJ134" s="2"/>
    </row>
    <row r="135" spans="59:62" customFormat="1" ht="19.149999999999999" customHeight="1">
      <c r="BG135" s="2"/>
      <c r="BH135" s="2"/>
      <c r="BI135" s="2"/>
      <c r="BJ135" s="2"/>
    </row>
    <row r="136" spans="59:62" customFormat="1" ht="19.149999999999999" customHeight="1">
      <c r="BG136" s="2"/>
      <c r="BH136" s="2"/>
      <c r="BI136" s="2"/>
      <c r="BJ136" s="2"/>
    </row>
    <row r="137" spans="59:62" customFormat="1" ht="19.149999999999999" customHeight="1">
      <c r="BG137" s="2"/>
      <c r="BH137" s="2"/>
      <c r="BI137" s="2"/>
      <c r="BJ137" s="2"/>
    </row>
    <row r="138" spans="59:62" customFormat="1" ht="19.149999999999999" customHeight="1">
      <c r="BG138" s="2"/>
      <c r="BH138" s="2"/>
      <c r="BI138" s="2"/>
      <c r="BJ138" s="2"/>
    </row>
    <row r="139" spans="59:62" customFormat="1" ht="19.149999999999999" customHeight="1">
      <c r="BG139" s="2"/>
      <c r="BH139" s="2"/>
      <c r="BI139" s="2"/>
      <c r="BJ139" s="2"/>
    </row>
    <row r="140" spans="59:62" customFormat="1" ht="19.149999999999999" customHeight="1">
      <c r="BG140" s="2"/>
      <c r="BH140" s="2"/>
      <c r="BI140" s="2"/>
      <c r="BJ140" s="2"/>
    </row>
    <row r="141" spans="59:62" customFormat="1" ht="19.149999999999999" customHeight="1">
      <c r="BG141" s="2"/>
      <c r="BH141" s="2"/>
      <c r="BI141" s="2"/>
      <c r="BJ141" s="2"/>
    </row>
    <row r="142" spans="59:62" customFormat="1" ht="19.149999999999999" customHeight="1">
      <c r="BG142" s="2"/>
      <c r="BH142" s="2"/>
      <c r="BI142" s="2"/>
      <c r="BJ142" s="2"/>
    </row>
    <row r="143" spans="59:62" customFormat="1" ht="19.149999999999999" customHeight="1">
      <c r="BG143" s="2"/>
      <c r="BH143" s="2"/>
      <c r="BI143" s="2"/>
      <c r="BJ143" s="2"/>
    </row>
    <row r="144" spans="59:62" customFormat="1" ht="19.149999999999999" customHeight="1">
      <c r="BG144" s="2"/>
      <c r="BH144" s="2"/>
      <c r="BI144" s="2"/>
      <c r="BJ144" s="2"/>
    </row>
    <row r="145" spans="59:62" customFormat="1" ht="19.149999999999999" customHeight="1">
      <c r="BG145" s="2"/>
      <c r="BH145" s="2"/>
      <c r="BI145" s="2"/>
      <c r="BJ145" s="2"/>
    </row>
    <row r="146" spans="59:62" customFormat="1" ht="19.149999999999999" customHeight="1">
      <c r="BG146" s="2"/>
      <c r="BH146" s="2"/>
      <c r="BI146" s="2"/>
      <c r="BJ146" s="2"/>
    </row>
    <row r="147" spans="59:62" customFormat="1" ht="19.149999999999999" customHeight="1">
      <c r="BG147" s="2"/>
      <c r="BH147" s="2"/>
      <c r="BI147" s="2"/>
      <c r="BJ147" s="2"/>
    </row>
    <row r="148" spans="59:62" customFormat="1" ht="19.149999999999999" customHeight="1">
      <c r="BG148" s="2"/>
      <c r="BH148" s="2"/>
      <c r="BI148" s="2"/>
      <c r="BJ148" s="2"/>
    </row>
    <row r="149" spans="59:62" customFormat="1" ht="19.149999999999999" customHeight="1">
      <c r="BG149" s="2"/>
      <c r="BH149" s="2"/>
      <c r="BI149" s="2"/>
      <c r="BJ149" s="2"/>
    </row>
    <row r="150" spans="59:62" customFormat="1" ht="19.149999999999999" customHeight="1">
      <c r="BG150" s="2"/>
      <c r="BH150" s="2"/>
      <c r="BI150" s="2"/>
      <c r="BJ150" s="2"/>
    </row>
    <row r="151" spans="59:62" customFormat="1" ht="19.149999999999999" customHeight="1">
      <c r="BG151" s="2"/>
      <c r="BH151" s="2"/>
      <c r="BI151" s="2"/>
      <c r="BJ151" s="2"/>
    </row>
    <row r="152" spans="59:62" customFormat="1" ht="19.149999999999999" customHeight="1">
      <c r="BG152" s="2"/>
      <c r="BH152" s="2"/>
      <c r="BI152" s="2"/>
      <c r="BJ152" s="2"/>
    </row>
    <row r="153" spans="59:62" customFormat="1" ht="19.149999999999999" customHeight="1">
      <c r="BG153" s="2"/>
      <c r="BH153" s="2"/>
      <c r="BI153" s="2"/>
      <c r="BJ153" s="2"/>
    </row>
    <row r="154" spans="59:62" customFormat="1" ht="19.149999999999999" customHeight="1">
      <c r="BG154" s="2"/>
      <c r="BH154" s="2"/>
      <c r="BI154" s="2"/>
      <c r="BJ154" s="2"/>
    </row>
    <row r="155" spans="59:62" customFormat="1" ht="19.149999999999999" customHeight="1">
      <c r="BG155" s="2"/>
      <c r="BH155" s="2"/>
      <c r="BI155" s="2"/>
      <c r="BJ155" s="2"/>
    </row>
    <row r="156" spans="59:62" customFormat="1" ht="19.149999999999999" customHeight="1">
      <c r="BG156" s="2"/>
      <c r="BH156" s="2"/>
      <c r="BI156" s="2"/>
      <c r="BJ156" s="2"/>
    </row>
    <row r="157" spans="59:62" customFormat="1" ht="19.149999999999999" customHeight="1">
      <c r="BG157" s="2"/>
      <c r="BH157" s="2"/>
      <c r="BI157" s="2"/>
      <c r="BJ157" s="2"/>
    </row>
    <row r="158" spans="59:62" customFormat="1" ht="19.149999999999999" customHeight="1">
      <c r="BG158" s="2"/>
      <c r="BH158" s="2"/>
      <c r="BI158" s="2"/>
      <c r="BJ158" s="2"/>
    </row>
    <row r="159" spans="59:62" customFormat="1" ht="19.149999999999999" customHeight="1">
      <c r="BG159" s="2"/>
      <c r="BH159" s="2"/>
      <c r="BI159" s="2"/>
      <c r="BJ159" s="2"/>
    </row>
    <row r="160" spans="59:62" customFormat="1" ht="19.149999999999999" customHeight="1">
      <c r="BG160" s="2"/>
      <c r="BH160" s="2"/>
      <c r="BI160" s="2"/>
      <c r="BJ160" s="2"/>
    </row>
    <row r="161" spans="59:62" customFormat="1" ht="19.149999999999999" customHeight="1">
      <c r="BG161" s="2"/>
      <c r="BH161" s="2"/>
      <c r="BI161" s="2"/>
      <c r="BJ161" s="2"/>
    </row>
    <row r="162" spans="59:62" customFormat="1" ht="19.149999999999999" customHeight="1">
      <c r="BG162" s="2"/>
      <c r="BH162" s="2"/>
      <c r="BI162" s="2"/>
      <c r="BJ162" s="2"/>
    </row>
    <row r="163" spans="59:62" customFormat="1" ht="19.149999999999999" customHeight="1">
      <c r="BG163" s="2"/>
      <c r="BH163" s="2"/>
      <c r="BI163" s="2"/>
      <c r="BJ163" s="2"/>
    </row>
    <row r="164" spans="59:62" customFormat="1" ht="19.149999999999999" customHeight="1">
      <c r="BG164" s="2"/>
      <c r="BH164" s="2"/>
      <c r="BI164" s="2"/>
      <c r="BJ164" s="2"/>
    </row>
    <row r="165" spans="59:62" customFormat="1" ht="19.149999999999999" customHeight="1">
      <c r="BG165" s="2"/>
      <c r="BH165" s="2"/>
      <c r="BI165" s="2"/>
      <c r="BJ165" s="2"/>
    </row>
    <row r="166" spans="59:62" customFormat="1" ht="19.149999999999999" customHeight="1">
      <c r="BG166" s="2"/>
      <c r="BH166" s="2"/>
      <c r="BI166" s="2"/>
      <c r="BJ166" s="2"/>
    </row>
    <row r="167" spans="59:62" customFormat="1" ht="19.149999999999999" customHeight="1">
      <c r="BG167" s="2"/>
      <c r="BH167" s="2"/>
      <c r="BI167" s="2"/>
      <c r="BJ167" s="2"/>
    </row>
    <row r="168" spans="59:62" customFormat="1" ht="19.149999999999999" customHeight="1">
      <c r="BG168" s="2"/>
      <c r="BH168" s="2"/>
      <c r="BI168" s="2"/>
      <c r="BJ168" s="2"/>
    </row>
    <row r="169" spans="59:62" customFormat="1" ht="19.149999999999999" customHeight="1">
      <c r="BG169" s="2"/>
      <c r="BH169" s="2"/>
      <c r="BI169" s="2"/>
      <c r="BJ169" s="2"/>
    </row>
    <row r="170" spans="59:62" customFormat="1" ht="19.149999999999999" customHeight="1">
      <c r="BG170" s="2"/>
      <c r="BH170" s="2"/>
      <c r="BI170" s="2"/>
      <c r="BJ170" s="2"/>
    </row>
    <row r="171" spans="59:62" customFormat="1" ht="19.149999999999999" customHeight="1">
      <c r="BG171" s="2"/>
      <c r="BH171" s="2"/>
      <c r="BI171" s="2"/>
      <c r="BJ171" s="2"/>
    </row>
    <row r="172" spans="59:62" customFormat="1" ht="19.149999999999999" customHeight="1">
      <c r="BG172" s="2"/>
      <c r="BH172" s="2"/>
      <c r="BI172" s="2"/>
      <c r="BJ172" s="2"/>
    </row>
    <row r="173" spans="59:62" customFormat="1" ht="19.149999999999999" customHeight="1">
      <c r="BG173" s="2"/>
      <c r="BH173" s="2"/>
      <c r="BI173" s="2"/>
      <c r="BJ173" s="2"/>
    </row>
    <row r="174" spans="59:62" customFormat="1" ht="19.149999999999999" customHeight="1">
      <c r="BG174" s="2"/>
      <c r="BH174" s="2"/>
      <c r="BI174" s="2"/>
      <c r="BJ174" s="2"/>
    </row>
    <row r="175" spans="59:62" customFormat="1" ht="19.149999999999999" customHeight="1">
      <c r="BG175" s="2"/>
      <c r="BH175" s="2"/>
      <c r="BI175" s="2"/>
      <c r="BJ175" s="2"/>
    </row>
    <row r="176" spans="59:62" customFormat="1" ht="19.149999999999999" customHeight="1">
      <c r="BG176" s="2"/>
      <c r="BH176" s="2"/>
      <c r="BI176" s="2"/>
      <c r="BJ176" s="2"/>
    </row>
    <row r="177" spans="59:62" customFormat="1" ht="19.149999999999999" customHeight="1">
      <c r="BG177" s="2"/>
      <c r="BH177" s="2"/>
      <c r="BI177" s="2"/>
      <c r="BJ177" s="2"/>
    </row>
    <row r="178" spans="59:62" customFormat="1" ht="19.149999999999999" customHeight="1">
      <c r="BG178" s="2"/>
      <c r="BH178" s="2"/>
      <c r="BI178" s="2"/>
      <c r="BJ178" s="2"/>
    </row>
    <row r="179" spans="59:62" customFormat="1" ht="19.149999999999999" customHeight="1">
      <c r="BG179" s="2"/>
      <c r="BH179" s="2"/>
      <c r="BI179" s="2"/>
      <c r="BJ179" s="2"/>
    </row>
    <row r="180" spans="59:62" customFormat="1" ht="19.149999999999999" customHeight="1">
      <c r="BG180" s="2"/>
      <c r="BH180" s="2"/>
      <c r="BI180" s="2"/>
      <c r="BJ180" s="2"/>
    </row>
    <row r="181" spans="59:62" customFormat="1" ht="19.149999999999999" customHeight="1">
      <c r="BG181" s="2"/>
      <c r="BH181" s="2"/>
      <c r="BI181" s="2"/>
      <c r="BJ181" s="2"/>
    </row>
    <row r="182" spans="59:62" customFormat="1" ht="19.149999999999999" customHeight="1">
      <c r="BG182" s="2"/>
      <c r="BH182" s="2"/>
      <c r="BI182" s="2"/>
      <c r="BJ182" s="2"/>
    </row>
    <row r="183" spans="59:62" customFormat="1" ht="19.149999999999999" customHeight="1">
      <c r="BG183" s="2"/>
      <c r="BH183" s="2"/>
      <c r="BI183" s="2"/>
      <c r="BJ183" s="2"/>
    </row>
    <row r="184" spans="59:62" customFormat="1" ht="19.149999999999999" customHeight="1">
      <c r="BG184" s="2"/>
      <c r="BH184" s="2"/>
      <c r="BI184" s="2"/>
      <c r="BJ184" s="2"/>
    </row>
    <row r="185" spans="59:62" customFormat="1" ht="19.149999999999999" customHeight="1">
      <c r="BG185" s="2"/>
      <c r="BH185" s="2"/>
      <c r="BI185" s="2"/>
      <c r="BJ185" s="2"/>
    </row>
    <row r="186" spans="59:62" customFormat="1" ht="19.149999999999999" customHeight="1">
      <c r="BG186" s="2"/>
      <c r="BH186" s="2"/>
      <c r="BI186" s="2"/>
      <c r="BJ186" s="2"/>
    </row>
    <row r="187" spans="59:62" customFormat="1" ht="19.149999999999999" customHeight="1">
      <c r="BG187" s="2"/>
      <c r="BH187" s="2"/>
      <c r="BI187" s="2"/>
      <c r="BJ187" s="2"/>
    </row>
    <row r="188" spans="59:62" customFormat="1" ht="19.149999999999999" customHeight="1">
      <c r="BG188" s="2"/>
      <c r="BH188" s="2"/>
      <c r="BI188" s="2"/>
      <c r="BJ188" s="2"/>
    </row>
    <row r="189" spans="59:62" customFormat="1" ht="19.149999999999999" customHeight="1">
      <c r="BG189" s="2"/>
      <c r="BH189" s="2"/>
      <c r="BI189" s="2"/>
      <c r="BJ189" s="2"/>
    </row>
    <row r="190" spans="59:62" customFormat="1" ht="19.149999999999999" customHeight="1">
      <c r="BG190" s="2"/>
      <c r="BH190" s="2"/>
      <c r="BI190" s="2"/>
      <c r="BJ190" s="2"/>
    </row>
    <row r="191" spans="59:62" customFormat="1" ht="19.149999999999999" customHeight="1">
      <c r="BG191" s="2"/>
      <c r="BH191" s="2"/>
      <c r="BI191" s="2"/>
      <c r="BJ191" s="2"/>
    </row>
    <row r="192" spans="59:62" customFormat="1" ht="19.149999999999999" customHeight="1">
      <c r="BG192" s="2"/>
      <c r="BH192" s="2"/>
      <c r="BI192" s="2"/>
      <c r="BJ192" s="2"/>
    </row>
    <row r="193" spans="59:62" customFormat="1" ht="19.149999999999999" customHeight="1">
      <c r="BG193" s="2"/>
      <c r="BH193" s="2"/>
      <c r="BI193" s="2"/>
      <c r="BJ193" s="2"/>
    </row>
    <row r="194" spans="59:62" customFormat="1" ht="19.149999999999999" customHeight="1">
      <c r="BG194" s="2"/>
      <c r="BH194" s="2"/>
      <c r="BI194" s="2"/>
      <c r="BJ194" s="2"/>
    </row>
    <row r="195" spans="59:62" customFormat="1" ht="19.149999999999999" customHeight="1">
      <c r="BG195" s="2"/>
      <c r="BH195" s="2"/>
      <c r="BI195" s="2"/>
      <c r="BJ195" s="2"/>
    </row>
    <row r="196" spans="59:62" customFormat="1" ht="19.149999999999999" customHeight="1">
      <c r="BG196" s="2"/>
      <c r="BH196" s="2"/>
      <c r="BI196" s="2"/>
      <c r="BJ196" s="2"/>
    </row>
    <row r="197" spans="59:62" customFormat="1" ht="19.149999999999999" customHeight="1">
      <c r="BG197" s="2"/>
      <c r="BH197" s="2"/>
      <c r="BI197" s="2"/>
      <c r="BJ197" s="2"/>
    </row>
    <row r="198" spans="59:62" customFormat="1" ht="19.149999999999999" customHeight="1">
      <c r="BG198" s="2"/>
      <c r="BH198" s="2"/>
      <c r="BI198" s="2"/>
      <c r="BJ198" s="2"/>
    </row>
    <row r="199" spans="59:62" customFormat="1" ht="19.149999999999999" customHeight="1">
      <c r="BG199" s="2"/>
      <c r="BH199" s="2"/>
      <c r="BI199" s="2"/>
      <c r="BJ199" s="2"/>
    </row>
    <row r="200" spans="59:62" customFormat="1" ht="19.149999999999999" customHeight="1">
      <c r="BG200" s="2"/>
      <c r="BH200" s="2"/>
      <c r="BI200" s="2"/>
      <c r="BJ200" s="2"/>
    </row>
    <row r="201" spans="59:62" customFormat="1" ht="19.149999999999999" customHeight="1">
      <c r="BG201" s="2"/>
      <c r="BH201" s="2"/>
      <c r="BI201" s="2"/>
      <c r="BJ201" s="2"/>
    </row>
    <row r="202" spans="59:62" customFormat="1" ht="19.149999999999999" customHeight="1">
      <c r="BG202" s="2"/>
      <c r="BH202" s="2"/>
      <c r="BI202" s="2"/>
      <c r="BJ202" s="2"/>
    </row>
    <row r="203" spans="59:62" customFormat="1" ht="19.149999999999999" customHeight="1">
      <c r="BG203" s="2"/>
      <c r="BH203" s="2"/>
      <c r="BI203" s="2"/>
      <c r="BJ203" s="2"/>
    </row>
    <row r="204" spans="59:62" customFormat="1" ht="19.149999999999999" customHeight="1">
      <c r="BG204" s="2"/>
      <c r="BH204" s="2"/>
      <c r="BI204" s="2"/>
      <c r="BJ204" s="2"/>
    </row>
    <row r="205" spans="59:62" customFormat="1" ht="19.149999999999999" customHeight="1">
      <c r="BG205" s="2"/>
      <c r="BH205" s="2"/>
      <c r="BI205" s="2"/>
      <c r="BJ205" s="2"/>
    </row>
    <row r="206" spans="59:62" customFormat="1" ht="19.149999999999999" customHeight="1">
      <c r="BG206" s="2"/>
      <c r="BH206" s="2"/>
      <c r="BI206" s="2"/>
      <c r="BJ206" s="2"/>
    </row>
    <row r="207" spans="59:62" customFormat="1" ht="19.149999999999999" customHeight="1">
      <c r="BG207" s="2"/>
      <c r="BH207" s="2"/>
      <c r="BI207" s="2"/>
      <c r="BJ207" s="2"/>
    </row>
    <row r="208" spans="59:62" customFormat="1" ht="19.149999999999999" customHeight="1">
      <c r="BG208" s="2"/>
      <c r="BH208" s="2"/>
      <c r="BI208" s="2"/>
      <c r="BJ208" s="2"/>
    </row>
    <row r="209" spans="59:62" customFormat="1" ht="19.149999999999999" customHeight="1">
      <c r="BG209" s="2"/>
      <c r="BH209" s="2"/>
      <c r="BI209" s="2"/>
      <c r="BJ209" s="2"/>
    </row>
    <row r="210" spans="59:62" customFormat="1" ht="19.149999999999999" customHeight="1">
      <c r="BG210" s="2"/>
      <c r="BH210" s="2"/>
      <c r="BI210" s="2"/>
      <c r="BJ210" s="2"/>
    </row>
    <row r="211" spans="59:62" customFormat="1" ht="19.149999999999999" customHeight="1">
      <c r="BG211" s="2"/>
      <c r="BH211" s="2"/>
      <c r="BI211" s="2"/>
      <c r="BJ211" s="2"/>
    </row>
    <row r="212" spans="59:62" customFormat="1" ht="19.149999999999999" customHeight="1">
      <c r="BG212" s="2"/>
      <c r="BH212" s="2"/>
      <c r="BI212" s="2"/>
      <c r="BJ212" s="2"/>
    </row>
    <row r="213" spans="59:62" customFormat="1" ht="19.149999999999999" customHeight="1">
      <c r="BG213" s="2"/>
      <c r="BH213" s="2"/>
      <c r="BI213" s="2"/>
      <c r="BJ213" s="2"/>
    </row>
    <row r="214" spans="59:62" customFormat="1" ht="19.149999999999999" customHeight="1">
      <c r="BG214" s="2"/>
      <c r="BH214" s="2"/>
      <c r="BI214" s="2"/>
      <c r="BJ214" s="2"/>
    </row>
    <row r="215" spans="59:62" customFormat="1" ht="19.149999999999999" customHeight="1">
      <c r="BG215" s="2"/>
      <c r="BH215" s="2"/>
      <c r="BI215" s="2"/>
      <c r="BJ215" s="2"/>
    </row>
    <row r="216" spans="59:62" customFormat="1" ht="19.149999999999999" customHeight="1">
      <c r="BG216" s="2"/>
      <c r="BH216" s="2"/>
      <c r="BI216" s="2"/>
      <c r="BJ216" s="2"/>
    </row>
    <row r="217" spans="59:62" customFormat="1" ht="19.149999999999999" customHeight="1">
      <c r="BG217" s="2"/>
      <c r="BH217" s="2"/>
      <c r="BI217" s="2"/>
      <c r="BJ217" s="2"/>
    </row>
    <row r="218" spans="59:62" customFormat="1" ht="19.149999999999999" customHeight="1">
      <c r="BG218" s="2"/>
      <c r="BH218" s="2"/>
      <c r="BI218" s="2"/>
      <c r="BJ218" s="2"/>
    </row>
    <row r="219" spans="59:62" customFormat="1" ht="19.149999999999999" customHeight="1">
      <c r="BG219" s="2"/>
      <c r="BH219" s="2"/>
      <c r="BI219" s="2"/>
      <c r="BJ219" s="2"/>
    </row>
    <row r="220" spans="59:62" customFormat="1" ht="19.149999999999999" customHeight="1">
      <c r="BG220" s="2"/>
      <c r="BH220" s="2"/>
      <c r="BI220" s="2"/>
      <c r="BJ220" s="2"/>
    </row>
    <row r="221" spans="59:62" customFormat="1" ht="19.149999999999999" customHeight="1">
      <c r="BG221" s="2"/>
      <c r="BH221" s="2"/>
      <c r="BI221" s="2"/>
      <c r="BJ221" s="2"/>
    </row>
    <row r="222" spans="59:62" customFormat="1" ht="19.149999999999999" customHeight="1">
      <c r="BG222" s="2"/>
      <c r="BH222" s="2"/>
      <c r="BI222" s="2"/>
      <c r="BJ222" s="2"/>
    </row>
    <row r="223" spans="59:62" customFormat="1" ht="19.149999999999999" customHeight="1">
      <c r="BG223" s="2"/>
      <c r="BH223" s="2"/>
      <c r="BI223" s="2"/>
      <c r="BJ223" s="2"/>
    </row>
    <row r="224" spans="59:62" customFormat="1" ht="19.149999999999999" customHeight="1">
      <c r="BG224" s="2"/>
      <c r="BH224" s="2"/>
      <c r="BI224" s="2"/>
      <c r="BJ224" s="2"/>
    </row>
    <row r="225" spans="59:62" customFormat="1" ht="19.149999999999999" customHeight="1">
      <c r="BG225" s="2"/>
      <c r="BH225" s="2"/>
      <c r="BI225" s="2"/>
      <c r="BJ225" s="2"/>
    </row>
    <row r="226" spans="59:62" customFormat="1" ht="19.149999999999999" customHeight="1">
      <c r="BG226" s="2"/>
      <c r="BH226" s="2"/>
      <c r="BI226" s="2"/>
      <c r="BJ226" s="2"/>
    </row>
    <row r="227" spans="59:62" customFormat="1" ht="19.149999999999999" customHeight="1">
      <c r="BG227" s="2"/>
      <c r="BH227" s="2"/>
      <c r="BI227" s="2"/>
      <c r="BJ227" s="2"/>
    </row>
    <row r="228" spans="59:62" customFormat="1" ht="19.149999999999999" customHeight="1">
      <c r="BG228" s="2"/>
      <c r="BH228" s="2"/>
      <c r="BI228" s="2"/>
      <c r="BJ228" s="2"/>
    </row>
    <row r="229" spans="59:62" customFormat="1" ht="19.149999999999999" customHeight="1">
      <c r="BG229" s="2"/>
      <c r="BH229" s="2"/>
      <c r="BI229" s="2"/>
      <c r="BJ229" s="2"/>
    </row>
    <row r="230" spans="59:62" customFormat="1" ht="19.149999999999999" customHeight="1">
      <c r="BG230" s="2"/>
      <c r="BH230" s="2"/>
      <c r="BI230" s="2"/>
      <c r="BJ230" s="2"/>
    </row>
    <row r="231" spans="59:62" customFormat="1" ht="19.149999999999999" customHeight="1">
      <c r="BG231" s="2"/>
      <c r="BH231" s="2"/>
      <c r="BI231" s="2"/>
      <c r="BJ231" s="2"/>
    </row>
    <row r="232" spans="59:62" customFormat="1" ht="19.149999999999999" customHeight="1">
      <c r="BG232" s="2"/>
      <c r="BH232" s="2"/>
      <c r="BI232" s="2"/>
      <c r="BJ232" s="2"/>
    </row>
    <row r="233" spans="59:62" customFormat="1" ht="19.149999999999999" customHeight="1">
      <c r="BG233" s="2"/>
      <c r="BH233" s="2"/>
      <c r="BI233" s="2"/>
      <c r="BJ233" s="2"/>
    </row>
    <row r="234" spans="59:62" customFormat="1" ht="19.149999999999999" customHeight="1">
      <c r="BG234" s="2"/>
      <c r="BH234" s="2"/>
      <c r="BI234" s="2"/>
      <c r="BJ234" s="2"/>
    </row>
    <row r="235" spans="59:62" customFormat="1" ht="19.149999999999999" customHeight="1">
      <c r="BG235" s="2"/>
      <c r="BH235" s="2"/>
      <c r="BI235" s="2"/>
      <c r="BJ235" s="2"/>
    </row>
    <row r="236" spans="59:62" customFormat="1" ht="19.149999999999999" customHeight="1">
      <c r="BG236" s="2"/>
      <c r="BH236" s="2"/>
      <c r="BI236" s="2"/>
      <c r="BJ236" s="2"/>
    </row>
    <row r="237" spans="59:62" customFormat="1" ht="19.149999999999999" customHeight="1">
      <c r="BG237" s="2"/>
      <c r="BH237" s="2"/>
      <c r="BI237" s="2"/>
      <c r="BJ237" s="2"/>
    </row>
    <row r="238" spans="59:62" customFormat="1" ht="19.149999999999999" customHeight="1">
      <c r="BG238" s="2"/>
      <c r="BH238" s="2"/>
      <c r="BI238" s="2"/>
      <c r="BJ238" s="2"/>
    </row>
    <row r="239" spans="59:62" customFormat="1" ht="19.149999999999999" customHeight="1">
      <c r="BG239" s="2"/>
      <c r="BH239" s="2"/>
      <c r="BI239" s="2"/>
      <c r="BJ239" s="2"/>
    </row>
  </sheetData>
  <sortState xmlns:xlrd2="http://schemas.microsoft.com/office/spreadsheetml/2017/richdata2" ref="A1:BF56">
    <sortCondition ref="B3:B4"/>
  </sortState>
  <mergeCells count="1">
    <mergeCell ref="A1:U1"/>
  </mergeCells>
  <dataValidations count="1">
    <dataValidation allowBlank="1" showInputMessage="1" showErrorMessage="1" sqref="B7:H7 B10:G10 B16:G16 B5:B6 B8:B9 B11:B15 B17:B1048576 H5:H6 H8:H36 B2:H4" xr:uid="{00000000-0002-0000-0200-000000000000}"/>
  </dataValidations>
  <hyperlinks>
    <hyperlink ref="F6" r:id="rId1" xr:uid="{00000000-0004-0000-0200-000000000000}"/>
    <hyperlink ref="F7" r:id="rId2" xr:uid="{00000000-0004-0000-0200-000001000000}"/>
    <hyperlink ref="F8" r:id="rId3" xr:uid="{00000000-0004-0000-0200-000002000000}"/>
    <hyperlink ref="F9" r:id="rId4" xr:uid="{00000000-0004-0000-0200-000003000000}"/>
    <hyperlink ref="F10" r:id="rId5" xr:uid="{00000000-0004-0000-0200-000004000000}"/>
    <hyperlink ref="F20" r:id="rId6" xr:uid="{00000000-0004-0000-0200-000005000000}"/>
    <hyperlink ref="F23" r:id="rId7" xr:uid="{00000000-0004-0000-0200-000006000000}"/>
    <hyperlink ref="F35" r:id="rId8" xr:uid="{00000000-0004-0000-0200-000007000000}"/>
    <hyperlink ref="F36" r:id="rId9" xr:uid="{00000000-0004-0000-0200-000008000000}"/>
    <hyperlink ref="F37" r:id="rId10" xr:uid="{00000000-0004-0000-0200-000009000000}"/>
    <hyperlink ref="F38" r:id="rId11" xr:uid="{00000000-0004-0000-0200-00000A000000}"/>
    <hyperlink ref="F32" r:id="rId12" xr:uid="{00000000-0004-0000-0200-00000B000000}"/>
    <hyperlink ref="F48" r:id="rId13" xr:uid="{00000000-0004-0000-0200-00000C000000}"/>
    <hyperlink ref="F54" r:id="rId14" xr:uid="{00000000-0004-0000-0200-00000D000000}"/>
  </hyperlinks>
  <pageMargins left="0.25" right="0.25" top="0.75" bottom="0.75" header="0.3" footer="0.3"/>
  <pageSetup paperSize="9" scale="6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139"/>
  <sheetViews>
    <sheetView topLeftCell="C1" zoomScale="70" zoomScaleNormal="70" workbookViewId="0">
      <selection activeCell="BE1" sqref="BE1:BH1048576"/>
    </sheetView>
  </sheetViews>
  <sheetFormatPr defaultColWidth="9" defaultRowHeight="15" outlineLevelCol="1"/>
  <cols>
    <col min="1" max="1" width="5.5" style="1" customWidth="1"/>
    <col min="2" max="2" width="24.625" style="1" customWidth="1" outlineLevel="1"/>
    <col min="3" max="3" width="19.625" style="1" customWidth="1" outlineLevel="1"/>
    <col min="4" max="4" width="11.375" style="1" customWidth="1" outlineLevel="1"/>
    <col min="5" max="5" width="28.375" style="1" customWidth="1" outlineLevel="1"/>
    <col min="6" max="6" width="44.875" style="1" customWidth="1" outlineLevel="1"/>
    <col min="7" max="7" width="23.375" style="1" customWidth="1" outlineLevel="1"/>
    <col min="8" max="8" width="19.125" style="1" customWidth="1" outlineLevel="1"/>
    <col min="9" max="13" width="9.125" hidden="1" customWidth="1"/>
    <col min="14" max="16" width="9.375" hidden="1" customWidth="1"/>
    <col min="17" max="17" width="8.875" hidden="1" customWidth="1"/>
    <col min="18" max="20" width="9.375" hidden="1" customWidth="1"/>
    <col min="21" max="21" width="10.5" hidden="1" customWidth="1"/>
    <col min="22" max="22" width="8.875" hidden="1" customWidth="1"/>
    <col min="23" max="25" width="10.125" hidden="1" customWidth="1"/>
    <col min="26" max="26" width="8.875" hidden="1" customWidth="1"/>
    <col min="27" max="28" width="9.5" hidden="1" customWidth="1"/>
    <col min="29" max="43" width="8.875" hidden="1" customWidth="1"/>
    <col min="44" max="45" width="9.375" hidden="1" customWidth="1"/>
    <col min="46" max="49" width="9" hidden="1" customWidth="1"/>
    <col min="50" max="50" width="8.875" hidden="1" customWidth="1"/>
    <col min="51" max="54" width="9.375" hidden="1" customWidth="1"/>
    <col min="55" max="56" width="8.875" hidden="1" customWidth="1"/>
    <col min="57" max="57" width="8.875" customWidth="1"/>
    <col min="58" max="58" width="9.375" customWidth="1"/>
    <col min="59" max="62" width="8.875" style="2"/>
  </cols>
  <sheetData>
    <row r="1" spans="1:62" ht="18.75">
      <c r="A1" s="650" t="s">
        <v>555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</row>
    <row r="2" spans="1:62" ht="18.75">
      <c r="A2" s="215" t="s">
        <v>356</v>
      </c>
      <c r="B2" s="216" t="s">
        <v>357</v>
      </c>
      <c r="C2" s="216" t="s">
        <v>358</v>
      </c>
      <c r="D2" s="216" t="s">
        <v>359</v>
      </c>
      <c r="E2" s="216" t="s">
        <v>360</v>
      </c>
      <c r="F2" s="216" t="s">
        <v>361</v>
      </c>
      <c r="G2" s="216" t="s">
        <v>362</v>
      </c>
      <c r="H2" s="217" t="s">
        <v>363</v>
      </c>
      <c r="I2" s="218" t="s">
        <v>556</v>
      </c>
      <c r="J2" s="219" t="s">
        <v>557</v>
      </c>
      <c r="K2" s="219" t="s">
        <v>558</v>
      </c>
      <c r="L2" s="219" t="s">
        <v>559</v>
      </c>
      <c r="M2" s="219" t="s">
        <v>560</v>
      </c>
      <c r="N2" s="220" t="s">
        <v>561</v>
      </c>
      <c r="O2" s="221" t="s">
        <v>562</v>
      </c>
      <c r="P2" s="222" t="s">
        <v>563</v>
      </c>
      <c r="Q2" s="221" t="s">
        <v>564</v>
      </c>
      <c r="R2" s="223" t="s">
        <v>565</v>
      </c>
      <c r="S2" s="220" t="s">
        <v>566</v>
      </c>
      <c r="T2" s="223" t="s">
        <v>567</v>
      </c>
      <c r="U2" s="220" t="s">
        <v>568</v>
      </c>
      <c r="V2" s="220" t="s">
        <v>569</v>
      </c>
      <c r="W2" s="223" t="s">
        <v>570</v>
      </c>
      <c r="X2" s="223" t="s">
        <v>571</v>
      </c>
      <c r="Y2" s="220" t="s">
        <v>572</v>
      </c>
      <c r="Z2" s="220" t="s">
        <v>573</v>
      </c>
      <c r="AA2" s="220" t="s">
        <v>574</v>
      </c>
      <c r="AB2" s="223" t="s">
        <v>575</v>
      </c>
      <c r="AC2" s="224">
        <v>45991</v>
      </c>
      <c r="AD2" s="225" t="s">
        <v>364</v>
      </c>
      <c r="AE2" s="224">
        <v>46005</v>
      </c>
      <c r="AF2" s="224">
        <v>46012</v>
      </c>
      <c r="AG2" s="224">
        <v>46019</v>
      </c>
      <c r="AH2" s="224">
        <v>46033</v>
      </c>
      <c r="AI2" s="224">
        <v>46040</v>
      </c>
      <c r="AJ2" s="224">
        <v>46047</v>
      </c>
      <c r="AK2" s="224">
        <v>46054</v>
      </c>
      <c r="AL2" s="224">
        <v>46061</v>
      </c>
      <c r="AM2" s="226">
        <v>46068</v>
      </c>
      <c r="AN2" s="224">
        <v>46075</v>
      </c>
      <c r="AO2" s="224">
        <v>46082</v>
      </c>
      <c r="AP2" s="226">
        <v>46089</v>
      </c>
      <c r="AQ2" s="224">
        <v>46096</v>
      </c>
      <c r="AR2" s="224">
        <v>46103</v>
      </c>
      <c r="AS2" s="224">
        <v>46110</v>
      </c>
      <c r="AT2" s="227">
        <f>AS2+7</f>
        <v>46117</v>
      </c>
      <c r="AU2" s="227">
        <f t="shared" ref="AU2:AW2" si="0">AT2+7</f>
        <v>46124</v>
      </c>
      <c r="AV2" s="227">
        <f t="shared" si="0"/>
        <v>46131</v>
      </c>
      <c r="AW2" s="228">
        <f t="shared" si="0"/>
        <v>46138</v>
      </c>
      <c r="AX2" s="229">
        <v>46145</v>
      </c>
      <c r="AY2" s="229">
        <v>46152</v>
      </c>
      <c r="AZ2" s="229">
        <v>46159</v>
      </c>
      <c r="BA2" s="229">
        <v>46166</v>
      </c>
      <c r="BB2" s="229">
        <v>46173</v>
      </c>
      <c r="BC2" s="229">
        <v>46180</v>
      </c>
      <c r="BD2" s="229">
        <v>46187</v>
      </c>
      <c r="BE2" s="230">
        <f>BD2+7</f>
        <v>46194</v>
      </c>
      <c r="BF2" s="229">
        <f>BE2+7</f>
        <v>46201</v>
      </c>
      <c r="BG2" s="230">
        <f>BF2+7</f>
        <v>46208</v>
      </c>
      <c r="BH2" s="230">
        <f t="shared" ref="BH2:BJ2" si="1">BG2+7</f>
        <v>46215</v>
      </c>
      <c r="BI2" s="230">
        <f t="shared" si="1"/>
        <v>46222</v>
      </c>
      <c r="BJ2" s="230">
        <f t="shared" si="1"/>
        <v>46229</v>
      </c>
    </row>
    <row r="3" spans="1:62" ht="25.15" customHeight="1">
      <c r="A3" s="158">
        <v>1</v>
      </c>
      <c r="B3" s="92" t="s">
        <v>576</v>
      </c>
      <c r="C3" s="92" t="s">
        <v>413</v>
      </c>
      <c r="D3" s="92" t="s">
        <v>373</v>
      </c>
      <c r="E3" s="92" t="s">
        <v>111</v>
      </c>
      <c r="F3" s="231" t="s">
        <v>189</v>
      </c>
      <c r="G3" s="92" t="s">
        <v>190</v>
      </c>
      <c r="H3" s="94" t="s">
        <v>191</v>
      </c>
      <c r="I3" s="160" t="s">
        <v>368</v>
      </c>
      <c r="J3" s="160" t="s">
        <v>368</v>
      </c>
      <c r="K3" s="160" t="s">
        <v>368</v>
      </c>
      <c r="L3" s="160"/>
      <c r="M3" s="160"/>
      <c r="N3" s="162" t="s">
        <v>368</v>
      </c>
      <c r="O3" s="163" t="s">
        <v>368</v>
      </c>
      <c r="P3" s="164"/>
      <c r="Q3" s="163" t="s">
        <v>368</v>
      </c>
      <c r="R3" s="163"/>
      <c r="S3" s="163" t="s">
        <v>368</v>
      </c>
      <c r="T3" s="163"/>
      <c r="U3" s="232"/>
      <c r="V3" s="232" t="s">
        <v>368</v>
      </c>
      <c r="W3" s="163" t="s">
        <v>368</v>
      </c>
      <c r="X3" s="163" t="s">
        <v>368</v>
      </c>
      <c r="Y3" s="232" t="s">
        <v>368</v>
      </c>
      <c r="Z3" s="232" t="s">
        <v>368</v>
      </c>
      <c r="AA3" s="232" t="s">
        <v>368</v>
      </c>
      <c r="AB3" s="164" t="s">
        <v>368</v>
      </c>
      <c r="AC3" s="58"/>
      <c r="AD3" s="56" t="s">
        <v>368</v>
      </c>
      <c r="AE3" s="56" t="s">
        <v>368</v>
      </c>
      <c r="AF3" s="56"/>
      <c r="AG3" s="56"/>
      <c r="AH3" s="56" t="s">
        <v>368</v>
      </c>
      <c r="AI3" s="56" t="s">
        <v>368</v>
      </c>
      <c r="AJ3" s="56" t="s">
        <v>368</v>
      </c>
      <c r="AK3" s="56" t="s">
        <v>368</v>
      </c>
      <c r="AL3" s="56" t="s">
        <v>368</v>
      </c>
      <c r="AM3" s="58"/>
      <c r="AN3" s="56"/>
      <c r="AO3" s="56" t="s">
        <v>368</v>
      </c>
      <c r="AP3" s="58" t="s">
        <v>368</v>
      </c>
      <c r="AQ3" s="56"/>
      <c r="AR3" s="56" t="s">
        <v>368</v>
      </c>
      <c r="AS3" s="56"/>
      <c r="AT3" s="13" t="s">
        <v>370</v>
      </c>
      <c r="AU3" s="13" t="s">
        <v>370</v>
      </c>
      <c r="AV3" s="13" t="s">
        <v>370</v>
      </c>
      <c r="AW3" s="57"/>
      <c r="AX3" s="16" t="s">
        <v>370</v>
      </c>
      <c r="AY3" s="16" t="s">
        <v>370</v>
      </c>
      <c r="AZ3" s="16" t="s">
        <v>370</v>
      </c>
      <c r="BA3" s="16" t="s">
        <v>370</v>
      </c>
      <c r="BB3" s="16"/>
      <c r="BC3" s="16" t="s">
        <v>370</v>
      </c>
      <c r="BD3" s="16" t="s">
        <v>370</v>
      </c>
      <c r="BE3" s="20" t="s">
        <v>370</v>
      </c>
      <c r="BF3" s="16" t="s">
        <v>370</v>
      </c>
      <c r="BG3" s="233" t="s">
        <v>370</v>
      </c>
      <c r="BH3" s="233" t="s">
        <v>370</v>
      </c>
      <c r="BI3" s="233" t="s">
        <v>370</v>
      </c>
      <c r="BJ3" s="233"/>
    </row>
    <row r="4" spans="1:62" ht="25.15" customHeight="1">
      <c r="A4" s="158">
        <f>A3+1</f>
        <v>2</v>
      </c>
      <c r="B4" s="92" t="s">
        <v>577</v>
      </c>
      <c r="C4" s="92" t="s">
        <v>578</v>
      </c>
      <c r="D4" s="92" t="s">
        <v>373</v>
      </c>
      <c r="E4" s="92" t="s">
        <v>192</v>
      </c>
      <c r="F4" s="100" t="s">
        <v>193</v>
      </c>
      <c r="G4" s="100" t="s">
        <v>194</v>
      </c>
      <c r="H4" s="94" t="s">
        <v>191</v>
      </c>
      <c r="I4" s="160" t="s">
        <v>368</v>
      </c>
      <c r="J4" s="160" t="s">
        <v>368</v>
      </c>
      <c r="K4" s="160" t="s">
        <v>368</v>
      </c>
      <c r="L4" s="160" t="s">
        <v>368</v>
      </c>
      <c r="M4" s="160"/>
      <c r="N4" s="172" t="s">
        <v>368</v>
      </c>
      <c r="O4" s="163" t="s">
        <v>368</v>
      </c>
      <c r="P4" s="164"/>
      <c r="Q4" s="163" t="s">
        <v>368</v>
      </c>
      <c r="R4" s="163"/>
      <c r="S4" s="163" t="s">
        <v>368</v>
      </c>
      <c r="T4" s="163" t="s">
        <v>368</v>
      </c>
      <c r="U4" s="163" t="s">
        <v>368</v>
      </c>
      <c r="V4" s="163"/>
      <c r="W4" s="163" t="s">
        <v>368</v>
      </c>
      <c r="X4" s="163" t="s">
        <v>368</v>
      </c>
      <c r="Y4" s="163"/>
      <c r="Z4" s="163"/>
      <c r="AA4" s="163"/>
      <c r="AB4" s="164"/>
      <c r="AC4" s="58" t="s">
        <v>368</v>
      </c>
      <c r="AD4" s="56" t="s">
        <v>368</v>
      </c>
      <c r="AE4" s="56"/>
      <c r="AF4" s="56"/>
      <c r="AG4" s="56"/>
      <c r="AH4" s="56"/>
      <c r="AI4" s="56" t="s">
        <v>368</v>
      </c>
      <c r="AJ4" s="56" t="s">
        <v>368</v>
      </c>
      <c r="AK4" s="56" t="s">
        <v>368</v>
      </c>
      <c r="AL4" s="56"/>
      <c r="AM4" s="58"/>
      <c r="AN4" s="56"/>
      <c r="AO4" s="56" t="s">
        <v>368</v>
      </c>
      <c r="AP4" s="58" t="s">
        <v>368</v>
      </c>
      <c r="AQ4" s="56" t="s">
        <v>368</v>
      </c>
      <c r="AR4" s="56" t="s">
        <v>368</v>
      </c>
      <c r="AS4" s="56"/>
      <c r="AT4" s="13" t="s">
        <v>370</v>
      </c>
      <c r="AU4" s="13" t="s">
        <v>370</v>
      </c>
      <c r="AV4" s="13" t="s">
        <v>370</v>
      </c>
      <c r="AW4" s="57" t="s">
        <v>370</v>
      </c>
      <c r="AX4" s="16"/>
      <c r="AY4" s="16" t="s">
        <v>370</v>
      </c>
      <c r="AZ4" s="16"/>
      <c r="BA4" s="16"/>
      <c r="BB4" s="16"/>
      <c r="BC4" s="16"/>
      <c r="BD4" s="16" t="s">
        <v>370</v>
      </c>
      <c r="BE4" s="20"/>
      <c r="BF4" s="16"/>
      <c r="BG4" s="233"/>
      <c r="BH4" s="233" t="s">
        <v>370</v>
      </c>
      <c r="BI4" s="233"/>
      <c r="BJ4" s="233"/>
    </row>
    <row r="5" spans="1:62" ht="25.15" customHeight="1">
      <c r="A5" s="158">
        <f t="shared" ref="A5:A28" si="2">A4+1</f>
        <v>3</v>
      </c>
      <c r="B5" s="92" t="s">
        <v>579</v>
      </c>
      <c r="C5" s="92" t="s">
        <v>377</v>
      </c>
      <c r="D5" s="92" t="s">
        <v>373</v>
      </c>
      <c r="E5" s="92" t="s">
        <v>195</v>
      </c>
      <c r="F5" s="92"/>
      <c r="G5" s="95"/>
      <c r="H5" s="94" t="s">
        <v>191</v>
      </c>
      <c r="I5" s="160" t="s">
        <v>368</v>
      </c>
      <c r="J5" s="160" t="s">
        <v>368</v>
      </c>
      <c r="K5" s="160" t="s">
        <v>368</v>
      </c>
      <c r="L5" s="160"/>
      <c r="M5" s="160"/>
      <c r="N5" s="172"/>
      <c r="O5" s="163" t="s">
        <v>368</v>
      </c>
      <c r="P5" s="164"/>
      <c r="Q5" s="163"/>
      <c r="R5" s="163"/>
      <c r="S5" s="163"/>
      <c r="T5" s="163"/>
      <c r="U5" s="163"/>
      <c r="V5" s="163" t="s">
        <v>368</v>
      </c>
      <c r="W5" s="163"/>
      <c r="X5" s="163"/>
      <c r="Y5" s="163"/>
      <c r="Z5" s="163"/>
      <c r="AA5" s="163" t="s">
        <v>368</v>
      </c>
      <c r="AB5" s="164" t="s">
        <v>368</v>
      </c>
      <c r="AC5" s="58"/>
      <c r="AD5" s="56"/>
      <c r="AE5" s="56"/>
      <c r="AF5" s="56"/>
      <c r="AG5" s="56"/>
      <c r="AH5" s="56" t="s">
        <v>368</v>
      </c>
      <c r="AI5" s="56"/>
      <c r="AJ5" s="56"/>
      <c r="AK5" s="56"/>
      <c r="AL5" s="56" t="s">
        <v>369</v>
      </c>
      <c r="AM5" s="58" t="s">
        <v>368</v>
      </c>
      <c r="AN5" s="56"/>
      <c r="AO5" s="56"/>
      <c r="AP5" s="58"/>
      <c r="AQ5" s="56"/>
      <c r="AR5" s="56"/>
      <c r="AS5" s="56"/>
      <c r="AT5" s="13"/>
      <c r="AU5" s="13"/>
      <c r="AV5" s="13" t="s">
        <v>370</v>
      </c>
      <c r="AW5" s="57"/>
      <c r="AX5" s="16" t="s">
        <v>370</v>
      </c>
      <c r="AY5" s="16"/>
      <c r="AZ5" s="16" t="s">
        <v>370</v>
      </c>
      <c r="BA5" s="16"/>
      <c r="BB5" s="16"/>
      <c r="BC5" s="16"/>
      <c r="BD5" s="16"/>
      <c r="BE5" s="20" t="s">
        <v>370</v>
      </c>
      <c r="BF5" s="16"/>
      <c r="BG5" s="233"/>
      <c r="BH5" s="233"/>
      <c r="BI5" s="233"/>
      <c r="BJ5" s="233"/>
    </row>
    <row r="6" spans="1:62" ht="25.15" customHeight="1">
      <c r="A6" s="158">
        <f t="shared" si="2"/>
        <v>4</v>
      </c>
      <c r="B6" s="92" t="s">
        <v>580</v>
      </c>
      <c r="C6" s="92" t="s">
        <v>581</v>
      </c>
      <c r="D6" s="92" t="s">
        <v>373</v>
      </c>
      <c r="E6" s="92" t="s">
        <v>196</v>
      </c>
      <c r="F6" s="234" t="s">
        <v>197</v>
      </c>
      <c r="G6" s="92">
        <v>977159246</v>
      </c>
      <c r="H6" s="94" t="s">
        <v>191</v>
      </c>
      <c r="I6" s="179" t="s">
        <v>368</v>
      </c>
      <c r="J6" s="179" t="s">
        <v>368</v>
      </c>
      <c r="K6" s="179" t="s">
        <v>368</v>
      </c>
      <c r="L6" s="160" t="s">
        <v>368</v>
      </c>
      <c r="M6" s="160"/>
      <c r="N6" s="172" t="s">
        <v>368</v>
      </c>
      <c r="O6" s="163" t="s">
        <v>368</v>
      </c>
      <c r="P6" s="164"/>
      <c r="Q6" s="163" t="s">
        <v>368</v>
      </c>
      <c r="R6" s="163"/>
      <c r="S6" s="163" t="s">
        <v>368</v>
      </c>
      <c r="T6" s="163" t="s">
        <v>368</v>
      </c>
      <c r="U6" s="163" t="s">
        <v>368</v>
      </c>
      <c r="V6" s="163" t="s">
        <v>368</v>
      </c>
      <c r="W6" s="163"/>
      <c r="X6" s="163" t="s">
        <v>368</v>
      </c>
      <c r="Y6" s="163"/>
      <c r="Z6" s="163"/>
      <c r="AA6" s="163"/>
      <c r="AB6" s="164" t="s">
        <v>368</v>
      </c>
      <c r="AC6" s="58"/>
      <c r="AD6" s="56"/>
      <c r="AE6" s="56"/>
      <c r="AF6" s="56"/>
      <c r="AG6" s="56"/>
      <c r="AH6" s="56"/>
      <c r="AI6" s="56"/>
      <c r="AJ6" s="56"/>
      <c r="AK6" s="56"/>
      <c r="AL6" s="56"/>
      <c r="AM6" s="58"/>
      <c r="AN6" s="56"/>
      <c r="AO6" s="56"/>
      <c r="AP6" s="58"/>
      <c r="AQ6" s="56"/>
      <c r="AR6" s="56"/>
      <c r="AS6" s="56"/>
      <c r="AT6" s="13"/>
      <c r="AU6" s="13"/>
      <c r="AV6" s="13" t="s">
        <v>370</v>
      </c>
      <c r="AW6" s="57"/>
      <c r="AX6" s="16"/>
      <c r="AY6" s="16"/>
      <c r="AZ6" s="16"/>
      <c r="BA6" s="16"/>
      <c r="BB6" s="16"/>
      <c r="BC6" s="16"/>
      <c r="BD6" s="16"/>
      <c r="BE6" s="20"/>
      <c r="BF6" s="16"/>
      <c r="BG6" s="233"/>
      <c r="BH6" s="233"/>
      <c r="BI6" s="233"/>
      <c r="BJ6" s="233"/>
    </row>
    <row r="7" spans="1:62" ht="25.15" customHeight="1">
      <c r="A7" s="158">
        <f t="shared" si="2"/>
        <v>5</v>
      </c>
      <c r="B7" s="92" t="s">
        <v>582</v>
      </c>
      <c r="C7" s="92" t="s">
        <v>400</v>
      </c>
      <c r="D7" s="92" t="s">
        <v>367</v>
      </c>
      <c r="E7" s="92" t="s">
        <v>46</v>
      </c>
      <c r="F7" s="92" t="s">
        <v>47</v>
      </c>
      <c r="G7" s="92" t="s">
        <v>48</v>
      </c>
      <c r="H7" s="94" t="s">
        <v>191</v>
      </c>
      <c r="I7" s="179"/>
      <c r="J7" s="179"/>
      <c r="K7" s="160" t="s">
        <v>368</v>
      </c>
      <c r="L7" s="160"/>
      <c r="M7" s="160"/>
      <c r="N7" s="172" t="s">
        <v>368</v>
      </c>
      <c r="O7" s="163" t="s">
        <v>368</v>
      </c>
      <c r="P7" s="164"/>
      <c r="Q7" s="163" t="s">
        <v>368</v>
      </c>
      <c r="R7" s="163"/>
      <c r="S7" s="163"/>
      <c r="T7" s="163" t="s">
        <v>368</v>
      </c>
      <c r="U7" s="163" t="s">
        <v>368</v>
      </c>
      <c r="V7" s="163"/>
      <c r="W7" s="163"/>
      <c r="X7" s="163" t="s">
        <v>368</v>
      </c>
      <c r="Y7" s="163"/>
      <c r="Z7" s="163"/>
      <c r="AA7" s="163"/>
      <c r="AB7" s="164" t="s">
        <v>368</v>
      </c>
      <c r="AC7" s="58"/>
      <c r="AD7" s="56" t="s">
        <v>368</v>
      </c>
      <c r="AE7" s="56"/>
      <c r="AF7" s="56"/>
      <c r="AG7" s="56"/>
      <c r="AH7" s="56"/>
      <c r="AI7" s="56"/>
      <c r="AJ7" s="56" t="s">
        <v>368</v>
      </c>
      <c r="AK7" s="56" t="s">
        <v>368</v>
      </c>
      <c r="AL7" s="56"/>
      <c r="AM7" s="58" t="s">
        <v>368</v>
      </c>
      <c r="AN7" s="56"/>
      <c r="AO7" s="56"/>
      <c r="AP7" s="58"/>
      <c r="AQ7" s="56" t="s">
        <v>368</v>
      </c>
      <c r="AR7" s="56"/>
      <c r="AS7" s="56"/>
      <c r="AT7" s="13"/>
      <c r="AU7" s="13"/>
      <c r="AV7" s="13"/>
      <c r="AW7" s="57"/>
      <c r="AX7" s="16" t="s">
        <v>370</v>
      </c>
      <c r="AY7" s="16"/>
      <c r="AZ7" s="16"/>
      <c r="BA7" s="16"/>
      <c r="BB7" s="16"/>
      <c r="BC7" s="16"/>
      <c r="BD7" s="16"/>
      <c r="BE7" s="20"/>
      <c r="BF7" s="16"/>
      <c r="BG7" s="233"/>
      <c r="BH7" s="233"/>
      <c r="BI7" s="233"/>
      <c r="BJ7" s="233"/>
    </row>
    <row r="8" spans="1:62" ht="25.15" customHeight="1">
      <c r="A8" s="158">
        <f t="shared" si="2"/>
        <v>6</v>
      </c>
      <c r="B8" s="92" t="s">
        <v>470</v>
      </c>
      <c r="C8" s="92" t="s">
        <v>471</v>
      </c>
      <c r="D8" s="92" t="s">
        <v>367</v>
      </c>
      <c r="E8" s="92" t="s">
        <v>114</v>
      </c>
      <c r="F8" s="235" t="s">
        <v>198</v>
      </c>
      <c r="G8" s="100" t="s">
        <v>116</v>
      </c>
      <c r="H8" s="94" t="s">
        <v>191</v>
      </c>
      <c r="I8" s="160" t="s">
        <v>368</v>
      </c>
      <c r="J8" s="160" t="s">
        <v>368</v>
      </c>
      <c r="K8" s="160"/>
      <c r="L8" s="160"/>
      <c r="M8" s="160"/>
      <c r="N8" s="172" t="s">
        <v>368</v>
      </c>
      <c r="O8" s="163" t="s">
        <v>368</v>
      </c>
      <c r="P8" s="164"/>
      <c r="Q8" s="163" t="s">
        <v>368</v>
      </c>
      <c r="R8" s="163"/>
      <c r="S8" s="192" t="s">
        <v>368</v>
      </c>
      <c r="T8" s="192" t="s">
        <v>368</v>
      </c>
      <c r="U8" s="192" t="s">
        <v>368</v>
      </c>
      <c r="V8" s="192" t="s">
        <v>368</v>
      </c>
      <c r="W8" s="163" t="s">
        <v>368</v>
      </c>
      <c r="X8" s="163"/>
      <c r="Y8" s="192" t="s">
        <v>368</v>
      </c>
      <c r="Z8" s="192" t="s">
        <v>368</v>
      </c>
      <c r="AA8" s="192"/>
      <c r="AB8" s="164" t="s">
        <v>368</v>
      </c>
      <c r="AC8" s="58"/>
      <c r="AD8" s="56" t="s">
        <v>368</v>
      </c>
      <c r="AE8" s="56" t="s">
        <v>368</v>
      </c>
      <c r="AF8" s="56"/>
      <c r="AG8" s="56"/>
      <c r="AH8" s="56"/>
      <c r="AI8" s="56" t="s">
        <v>368</v>
      </c>
      <c r="AJ8" s="56" t="s">
        <v>368</v>
      </c>
      <c r="AK8" s="56" t="s">
        <v>368</v>
      </c>
      <c r="AL8" s="56" t="s">
        <v>369</v>
      </c>
      <c r="AM8" s="58"/>
      <c r="AN8" s="56" t="s">
        <v>368</v>
      </c>
      <c r="AO8" s="56" t="s">
        <v>368</v>
      </c>
      <c r="AP8" s="58" t="s">
        <v>368</v>
      </c>
      <c r="AQ8" s="56" t="s">
        <v>368</v>
      </c>
      <c r="AR8" s="56" t="s">
        <v>368</v>
      </c>
      <c r="AS8" s="56"/>
      <c r="AT8" s="13" t="s">
        <v>370</v>
      </c>
      <c r="AU8" s="13" t="s">
        <v>370</v>
      </c>
      <c r="AV8" s="13" t="s">
        <v>370</v>
      </c>
      <c r="AW8" s="57" t="s">
        <v>370</v>
      </c>
      <c r="AX8" s="16"/>
      <c r="AY8" s="16" t="s">
        <v>370</v>
      </c>
      <c r="AZ8" s="16" t="s">
        <v>370</v>
      </c>
      <c r="BA8" s="16" t="s">
        <v>370</v>
      </c>
      <c r="BB8" s="16" t="s">
        <v>370</v>
      </c>
      <c r="BC8" s="16" t="s">
        <v>370</v>
      </c>
      <c r="BD8" s="16" t="s">
        <v>370</v>
      </c>
      <c r="BE8" s="20"/>
      <c r="BF8" s="16" t="s">
        <v>370</v>
      </c>
      <c r="BG8" s="233" t="s">
        <v>370</v>
      </c>
      <c r="BH8" s="233"/>
      <c r="BI8" s="233" t="s">
        <v>370</v>
      </c>
      <c r="BJ8" s="233"/>
    </row>
    <row r="9" spans="1:62" ht="25.15" customHeight="1">
      <c r="A9" s="158">
        <f t="shared" si="2"/>
        <v>7</v>
      </c>
      <c r="B9" s="112" t="s">
        <v>583</v>
      </c>
      <c r="C9" s="112" t="s">
        <v>584</v>
      </c>
      <c r="D9" s="112" t="s">
        <v>373</v>
      </c>
      <c r="E9" s="112" t="s">
        <v>199</v>
      </c>
      <c r="F9" s="236" t="s">
        <v>200</v>
      </c>
      <c r="G9" s="112" t="s">
        <v>201</v>
      </c>
      <c r="H9" s="94" t="s">
        <v>191</v>
      </c>
      <c r="I9" s="179"/>
      <c r="J9" s="179"/>
      <c r="K9" s="179"/>
      <c r="L9" s="179"/>
      <c r="M9" s="179"/>
      <c r="N9" s="184" t="s">
        <v>368</v>
      </c>
      <c r="O9" s="163" t="s">
        <v>368</v>
      </c>
      <c r="P9" s="185"/>
      <c r="Q9" s="237"/>
      <c r="R9" s="186"/>
      <c r="S9" s="186"/>
      <c r="T9" s="238"/>
      <c r="U9" s="56"/>
      <c r="V9" s="186"/>
      <c r="W9" s="186"/>
      <c r="X9" s="186"/>
      <c r="Y9" s="56"/>
      <c r="Z9" s="187"/>
      <c r="AA9" s="187"/>
      <c r="AB9" s="238"/>
      <c r="AC9" s="58"/>
      <c r="AD9" s="56"/>
      <c r="AE9" s="56"/>
      <c r="AF9" s="56"/>
      <c r="AG9" s="56"/>
      <c r="AH9" s="56"/>
      <c r="AI9" s="56"/>
      <c r="AJ9" s="56"/>
      <c r="AK9" s="56"/>
      <c r="AL9" s="56"/>
      <c r="AM9" s="58"/>
      <c r="AN9" s="56"/>
      <c r="AO9" s="56"/>
      <c r="AP9" s="58"/>
      <c r="AQ9" s="56"/>
      <c r="AR9" s="56"/>
      <c r="AS9" s="56"/>
      <c r="AT9" s="13"/>
      <c r="AU9" s="13"/>
      <c r="AV9" s="13"/>
      <c r="AW9" s="57"/>
      <c r="AX9" s="16"/>
      <c r="AY9" s="16"/>
      <c r="AZ9" s="16"/>
      <c r="BA9" s="16"/>
      <c r="BB9" s="16"/>
      <c r="BC9" s="16"/>
      <c r="BD9" s="16"/>
      <c r="BE9" s="20"/>
      <c r="BF9" s="16"/>
      <c r="BG9" s="233"/>
      <c r="BH9" s="233"/>
      <c r="BI9" s="233"/>
      <c r="BJ9" s="233"/>
    </row>
    <row r="10" spans="1:62" ht="25.15" customHeight="1">
      <c r="A10" s="13">
        <f t="shared" si="2"/>
        <v>8</v>
      </c>
      <c r="B10" s="95" t="s">
        <v>585</v>
      </c>
      <c r="C10" s="95" t="s">
        <v>494</v>
      </c>
      <c r="D10" s="95" t="s">
        <v>367</v>
      </c>
      <c r="E10" s="95" t="s">
        <v>149</v>
      </c>
      <c r="F10" s="97" t="s">
        <v>150</v>
      </c>
      <c r="G10" s="95" t="s">
        <v>202</v>
      </c>
      <c r="H10" s="94" t="s">
        <v>191</v>
      </c>
      <c r="I10" s="58"/>
      <c r="J10" s="58"/>
      <c r="K10" s="58"/>
      <c r="L10" s="58"/>
      <c r="M10" s="58"/>
      <c r="N10" s="239"/>
      <c r="O10" s="163" t="s">
        <v>368</v>
      </c>
      <c r="P10" s="56"/>
      <c r="Q10" s="56"/>
      <c r="R10" s="186"/>
      <c r="S10" s="166"/>
      <c r="T10" s="166"/>
      <c r="U10" s="166"/>
      <c r="V10" s="166"/>
      <c r="W10" s="166"/>
      <c r="X10" s="166"/>
      <c r="Y10" s="166"/>
      <c r="Z10" s="56"/>
      <c r="AA10" s="56"/>
      <c r="AB10" s="240"/>
      <c r="AC10" s="58"/>
      <c r="AD10" s="56"/>
      <c r="AE10" s="56"/>
      <c r="AF10" s="56"/>
      <c r="AG10" s="56"/>
      <c r="AH10" s="56"/>
      <c r="AI10" s="56"/>
      <c r="AJ10" s="56"/>
      <c r="AK10" s="56"/>
      <c r="AL10" s="56"/>
      <c r="AM10" s="58"/>
      <c r="AN10" s="56"/>
      <c r="AO10" s="56"/>
      <c r="AP10" s="58"/>
      <c r="AQ10" s="56"/>
      <c r="AR10" s="56"/>
      <c r="AS10" s="56"/>
      <c r="AT10" s="13"/>
      <c r="AU10" s="13"/>
      <c r="AV10" s="13"/>
      <c r="AW10" s="57"/>
      <c r="AX10" s="16"/>
      <c r="AY10" s="16"/>
      <c r="AZ10" s="16"/>
      <c r="BA10" s="16"/>
      <c r="BB10" s="16"/>
      <c r="BC10" s="16"/>
      <c r="BD10" s="16"/>
      <c r="BE10" s="20"/>
      <c r="BF10" s="16"/>
      <c r="BG10" s="233"/>
      <c r="BH10" s="233"/>
      <c r="BI10" s="233"/>
      <c r="BJ10" s="233"/>
    </row>
    <row r="11" spans="1:62" ht="25.15" customHeight="1">
      <c r="A11" s="13">
        <f t="shared" si="2"/>
        <v>9</v>
      </c>
      <c r="B11" s="95" t="s">
        <v>497</v>
      </c>
      <c r="C11" s="95" t="s">
        <v>586</v>
      </c>
      <c r="D11" s="95" t="s">
        <v>373</v>
      </c>
      <c r="E11" s="95" t="s">
        <v>155</v>
      </c>
      <c r="F11" s="97" t="s">
        <v>156</v>
      </c>
      <c r="G11" s="97" t="s">
        <v>203</v>
      </c>
      <c r="H11" s="94" t="s">
        <v>191</v>
      </c>
      <c r="I11" s="58"/>
      <c r="J11" s="58"/>
      <c r="K11" s="58"/>
      <c r="L11" s="58"/>
      <c r="M11" s="58"/>
      <c r="N11" s="239"/>
      <c r="O11" s="163" t="s">
        <v>368</v>
      </c>
      <c r="P11" s="56"/>
      <c r="Q11" s="56"/>
      <c r="R11" s="166"/>
      <c r="S11" s="56"/>
      <c r="T11" s="56"/>
      <c r="U11" s="56"/>
      <c r="V11" s="56"/>
      <c r="W11" s="56"/>
      <c r="X11" s="56"/>
      <c r="Y11" s="56"/>
      <c r="Z11" s="56"/>
      <c r="AA11" s="56"/>
      <c r="AB11" s="58"/>
      <c r="AC11" s="58"/>
      <c r="AD11" s="56"/>
      <c r="AE11" s="56"/>
      <c r="AF11" s="56"/>
      <c r="AG11" s="56"/>
      <c r="AH11" s="56"/>
      <c r="AI11" s="56"/>
      <c r="AJ11" s="56"/>
      <c r="AK11" s="56"/>
      <c r="AL11" s="56"/>
      <c r="AM11" s="58"/>
      <c r="AN11" s="56"/>
      <c r="AO11" s="56"/>
      <c r="AP11" s="58"/>
      <c r="AQ11" s="56"/>
      <c r="AR11" s="56"/>
      <c r="AS11" s="56"/>
      <c r="AT11" s="13"/>
      <c r="AU11" s="13"/>
      <c r="AV11" s="13"/>
      <c r="AW11" s="57"/>
      <c r="AX11" s="16"/>
      <c r="AY11" s="16"/>
      <c r="AZ11" s="16"/>
      <c r="BA11" s="16"/>
      <c r="BB11" s="16"/>
      <c r="BC11" s="16"/>
      <c r="BD11" s="16"/>
      <c r="BE11" s="20"/>
      <c r="BF11" s="16"/>
      <c r="BG11" s="233"/>
      <c r="BH11" s="233"/>
      <c r="BI11" s="233"/>
      <c r="BJ11" s="233"/>
    </row>
    <row r="12" spans="1:62" ht="25.15" customHeight="1">
      <c r="A12" s="13">
        <f t="shared" si="2"/>
        <v>10</v>
      </c>
      <c r="B12" s="95" t="s">
        <v>587</v>
      </c>
      <c r="C12" s="95" t="s">
        <v>504</v>
      </c>
      <c r="D12" s="95" t="s">
        <v>367</v>
      </c>
      <c r="E12" s="95" t="s">
        <v>164</v>
      </c>
      <c r="F12" s="97" t="s">
        <v>165</v>
      </c>
      <c r="G12" s="97" t="s">
        <v>166</v>
      </c>
      <c r="H12" s="94" t="s">
        <v>191</v>
      </c>
      <c r="I12" s="58"/>
      <c r="J12" s="58"/>
      <c r="K12" s="58"/>
      <c r="L12" s="58"/>
      <c r="M12" s="58"/>
      <c r="N12" s="239"/>
      <c r="O12" s="163" t="s">
        <v>368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8"/>
      <c r="AC12" s="58"/>
      <c r="AD12" s="56"/>
      <c r="AE12" s="56"/>
      <c r="AF12" s="56"/>
      <c r="AG12" s="56"/>
      <c r="AH12" s="56"/>
      <c r="AI12" s="56"/>
      <c r="AJ12" s="56"/>
      <c r="AK12" s="56"/>
      <c r="AL12" s="56"/>
      <c r="AM12" s="58"/>
      <c r="AN12" s="56"/>
      <c r="AO12" s="56"/>
      <c r="AP12" s="58"/>
      <c r="AQ12" s="56"/>
      <c r="AR12" s="56"/>
      <c r="AS12" s="56"/>
      <c r="AT12" s="13"/>
      <c r="AU12" s="13"/>
      <c r="AV12" s="13"/>
      <c r="AW12" s="57"/>
      <c r="AX12" s="16"/>
      <c r="AY12" s="16"/>
      <c r="AZ12" s="16"/>
      <c r="BA12" s="16"/>
      <c r="BB12" s="16"/>
      <c r="BC12" s="16"/>
      <c r="BD12" s="16"/>
      <c r="BE12" s="20"/>
      <c r="BF12" s="16"/>
      <c r="BG12" s="233"/>
      <c r="BH12" s="233"/>
      <c r="BI12" s="233"/>
      <c r="BJ12" s="233"/>
    </row>
    <row r="13" spans="1:62" ht="25.15" customHeight="1">
      <c r="A13" s="13">
        <f t="shared" si="2"/>
        <v>11</v>
      </c>
      <c r="B13" s="95" t="s">
        <v>588</v>
      </c>
      <c r="C13" s="95" t="s">
        <v>589</v>
      </c>
      <c r="D13" s="95" t="s">
        <v>378</v>
      </c>
      <c r="E13" s="95" t="s">
        <v>204</v>
      </c>
      <c r="F13" s="97" t="s">
        <v>205</v>
      </c>
      <c r="G13" s="95" t="s">
        <v>206</v>
      </c>
      <c r="H13" s="94" t="s">
        <v>191</v>
      </c>
      <c r="I13" s="58"/>
      <c r="J13" s="58"/>
      <c r="K13" s="58"/>
      <c r="L13" s="58"/>
      <c r="M13" s="58"/>
      <c r="N13" s="241"/>
      <c r="O13" s="56" t="s">
        <v>368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8"/>
      <c r="AC13" s="58"/>
      <c r="AD13" s="56"/>
      <c r="AE13" s="56"/>
      <c r="AF13" s="56"/>
      <c r="AG13" s="56"/>
      <c r="AH13" s="56"/>
      <c r="AI13" s="56"/>
      <c r="AJ13" s="56"/>
      <c r="AK13" s="56"/>
      <c r="AL13" s="56"/>
      <c r="AM13" s="58"/>
      <c r="AN13" s="56"/>
      <c r="AO13" s="56"/>
      <c r="AP13" s="58"/>
      <c r="AQ13" s="56"/>
      <c r="AR13" s="56"/>
      <c r="AS13" s="56"/>
      <c r="AT13" s="13"/>
      <c r="AU13" s="13"/>
      <c r="AV13" s="13"/>
      <c r="AW13" s="57"/>
      <c r="AX13" s="16"/>
      <c r="AY13" s="16"/>
      <c r="AZ13" s="16"/>
      <c r="BA13" s="16"/>
      <c r="BB13" s="16"/>
      <c r="BC13" s="16"/>
      <c r="BD13" s="16"/>
      <c r="BE13" s="20"/>
      <c r="BF13" s="16"/>
      <c r="BG13" s="233"/>
      <c r="BH13" s="233"/>
      <c r="BI13" s="233"/>
      <c r="BJ13" s="233"/>
    </row>
    <row r="14" spans="1:62" ht="25.15" customHeight="1">
      <c r="A14" s="13">
        <f t="shared" si="2"/>
        <v>12</v>
      </c>
      <c r="B14" s="95" t="s">
        <v>590</v>
      </c>
      <c r="C14" s="95" t="s">
        <v>591</v>
      </c>
      <c r="D14" s="95" t="s">
        <v>378</v>
      </c>
      <c r="E14" s="95" t="s">
        <v>207</v>
      </c>
      <c r="F14" s="97" t="s">
        <v>208</v>
      </c>
      <c r="G14" s="97" t="s">
        <v>209</v>
      </c>
      <c r="H14" s="94" t="s">
        <v>191</v>
      </c>
      <c r="I14" s="58"/>
      <c r="J14" s="58"/>
      <c r="K14" s="58"/>
      <c r="L14" s="58"/>
      <c r="M14" s="58"/>
      <c r="N14" s="239"/>
      <c r="O14" s="163" t="s">
        <v>368</v>
      </c>
      <c r="P14" s="56"/>
      <c r="Q14" s="56" t="s">
        <v>368</v>
      </c>
      <c r="R14" s="56"/>
      <c r="S14" s="56" t="s">
        <v>368</v>
      </c>
      <c r="T14" s="56" t="s">
        <v>368</v>
      </c>
      <c r="U14" s="56" t="s">
        <v>368</v>
      </c>
      <c r="V14" s="56" t="s">
        <v>368</v>
      </c>
      <c r="W14" s="56" t="s">
        <v>368</v>
      </c>
      <c r="X14" s="56"/>
      <c r="Y14" s="56"/>
      <c r="Z14" s="56" t="s">
        <v>368</v>
      </c>
      <c r="AA14" s="56" t="s">
        <v>368</v>
      </c>
      <c r="AB14" s="58"/>
      <c r="AC14" s="58" t="s">
        <v>368</v>
      </c>
      <c r="AD14" s="56" t="s">
        <v>368</v>
      </c>
      <c r="AE14" s="56"/>
      <c r="AF14" s="56"/>
      <c r="AG14" s="56"/>
      <c r="AH14" s="56"/>
      <c r="AI14" s="56" t="s">
        <v>368</v>
      </c>
      <c r="AJ14" s="56" t="s">
        <v>368</v>
      </c>
      <c r="AK14" s="56" t="s">
        <v>368</v>
      </c>
      <c r="AL14" s="56" t="s">
        <v>369</v>
      </c>
      <c r="AM14" s="58"/>
      <c r="AN14" s="56"/>
      <c r="AO14" s="56" t="s">
        <v>368</v>
      </c>
      <c r="AP14" s="58" t="s">
        <v>368</v>
      </c>
      <c r="AQ14" s="56"/>
      <c r="AR14" s="56"/>
      <c r="AS14" s="56"/>
      <c r="AT14" s="13" t="s">
        <v>370</v>
      </c>
      <c r="AU14" s="13"/>
      <c r="AV14" s="13" t="s">
        <v>370</v>
      </c>
      <c r="AW14" s="57" t="s">
        <v>370</v>
      </c>
      <c r="AX14" s="16"/>
      <c r="AY14" s="16"/>
      <c r="AZ14" s="16"/>
      <c r="BA14" s="16" t="s">
        <v>370</v>
      </c>
      <c r="BB14" s="16"/>
      <c r="BC14" s="16" t="s">
        <v>370</v>
      </c>
      <c r="BD14" s="16" t="s">
        <v>370</v>
      </c>
      <c r="BE14" s="20" t="s">
        <v>370</v>
      </c>
      <c r="BF14" s="16" t="s">
        <v>370</v>
      </c>
      <c r="BG14" s="233"/>
      <c r="BH14" s="233" t="s">
        <v>370</v>
      </c>
      <c r="BI14" s="233" t="s">
        <v>370</v>
      </c>
      <c r="BJ14" s="233"/>
    </row>
    <row r="15" spans="1:62" ht="25.15" customHeight="1">
      <c r="A15" s="13">
        <f t="shared" si="2"/>
        <v>13</v>
      </c>
      <c r="B15" s="95" t="s">
        <v>592</v>
      </c>
      <c r="C15" s="95" t="s">
        <v>459</v>
      </c>
      <c r="D15" s="95" t="s">
        <v>367</v>
      </c>
      <c r="E15" s="95" t="s">
        <v>94</v>
      </c>
      <c r="F15" s="97" t="s">
        <v>95</v>
      </c>
      <c r="G15" s="97" t="s">
        <v>96</v>
      </c>
      <c r="H15" s="94" t="s">
        <v>191</v>
      </c>
      <c r="I15" s="83"/>
      <c r="J15" s="83"/>
      <c r="K15" s="83"/>
      <c r="L15" s="83"/>
      <c r="M15" s="83"/>
      <c r="N15" s="198" t="s">
        <v>368</v>
      </c>
      <c r="O15" s="192" t="s">
        <v>368</v>
      </c>
      <c r="P15" s="84"/>
      <c r="Q15" s="84" t="s">
        <v>368</v>
      </c>
      <c r="R15" s="56"/>
      <c r="S15" s="56" t="s">
        <v>368</v>
      </c>
      <c r="T15" s="56" t="s">
        <v>368</v>
      </c>
      <c r="U15" s="56" t="s">
        <v>368</v>
      </c>
      <c r="V15" s="56" t="s">
        <v>368</v>
      </c>
      <c r="W15" s="56" t="s">
        <v>368</v>
      </c>
      <c r="X15" s="56" t="s">
        <v>368</v>
      </c>
      <c r="Y15" s="56"/>
      <c r="Z15" s="56" t="s">
        <v>368</v>
      </c>
      <c r="AA15" s="56" t="s">
        <v>368</v>
      </c>
      <c r="AB15" s="58" t="s">
        <v>368</v>
      </c>
      <c r="AC15" s="58" t="s">
        <v>368</v>
      </c>
      <c r="AD15" s="56" t="s">
        <v>368</v>
      </c>
      <c r="AE15" s="56" t="s">
        <v>368</v>
      </c>
      <c r="AF15" s="56"/>
      <c r="AG15" s="56"/>
      <c r="AH15" s="56" t="s">
        <v>368</v>
      </c>
      <c r="AI15" s="56" t="s">
        <v>368</v>
      </c>
      <c r="AJ15" s="56" t="s">
        <v>368</v>
      </c>
      <c r="AK15" s="56"/>
      <c r="AL15" s="56" t="s">
        <v>369</v>
      </c>
      <c r="AM15" s="58"/>
      <c r="AN15" s="56" t="s">
        <v>368</v>
      </c>
      <c r="AO15" s="56" t="s">
        <v>368</v>
      </c>
      <c r="AP15" s="58" t="s">
        <v>368</v>
      </c>
      <c r="AQ15" s="56"/>
      <c r="AR15" s="56" t="s">
        <v>368</v>
      </c>
      <c r="AS15" s="56"/>
      <c r="AT15" s="13" t="s">
        <v>370</v>
      </c>
      <c r="AU15" s="13" t="s">
        <v>370</v>
      </c>
      <c r="AV15" s="13" t="s">
        <v>370</v>
      </c>
      <c r="AW15" s="57" t="s">
        <v>370</v>
      </c>
      <c r="AX15" s="16" t="s">
        <v>370</v>
      </c>
      <c r="AY15" s="16" t="s">
        <v>370</v>
      </c>
      <c r="AZ15" s="16" t="s">
        <v>370</v>
      </c>
      <c r="BA15" s="16" t="s">
        <v>370</v>
      </c>
      <c r="BB15" s="16" t="s">
        <v>370</v>
      </c>
      <c r="BC15" s="16"/>
      <c r="BD15" s="16" t="s">
        <v>370</v>
      </c>
      <c r="BE15" s="20" t="s">
        <v>370</v>
      </c>
      <c r="BF15" s="16" t="s">
        <v>370</v>
      </c>
      <c r="BG15" s="233"/>
      <c r="BH15" s="233" t="s">
        <v>370</v>
      </c>
      <c r="BI15" s="233" t="s">
        <v>370</v>
      </c>
      <c r="BJ15" s="233"/>
    </row>
    <row r="16" spans="1:62" ht="25.15" customHeight="1">
      <c r="A16" s="13">
        <f t="shared" si="2"/>
        <v>14</v>
      </c>
      <c r="B16" s="95" t="s">
        <v>593</v>
      </c>
      <c r="C16" s="95" t="s">
        <v>491</v>
      </c>
      <c r="D16" s="95" t="s">
        <v>367</v>
      </c>
      <c r="E16" s="95" t="s">
        <v>145</v>
      </c>
      <c r="F16" s="97" t="s">
        <v>146</v>
      </c>
      <c r="G16" s="97" t="s">
        <v>147</v>
      </c>
      <c r="H16" s="94" t="s">
        <v>191</v>
      </c>
      <c r="I16" s="83"/>
      <c r="J16" s="83"/>
      <c r="K16" s="83"/>
      <c r="L16" s="83"/>
      <c r="M16" s="83"/>
      <c r="N16" s="83"/>
      <c r="O16" s="83"/>
      <c r="P16" s="83"/>
      <c r="Q16" s="84" t="s">
        <v>368</v>
      </c>
      <c r="R16" s="56"/>
      <c r="S16" s="56" t="s">
        <v>368</v>
      </c>
      <c r="T16" s="56" t="s">
        <v>368</v>
      </c>
      <c r="U16" s="56" t="s">
        <v>368</v>
      </c>
      <c r="V16" s="56"/>
      <c r="W16" s="56"/>
      <c r="X16" s="56" t="s">
        <v>368</v>
      </c>
      <c r="Y16" s="56" t="s">
        <v>368</v>
      </c>
      <c r="Z16" s="56" t="s">
        <v>368</v>
      </c>
      <c r="AA16" s="56"/>
      <c r="AB16" s="58" t="s">
        <v>368</v>
      </c>
      <c r="AC16" s="58"/>
      <c r="AD16" s="56" t="s">
        <v>368</v>
      </c>
      <c r="AE16" s="56" t="s">
        <v>368</v>
      </c>
      <c r="AF16" s="56"/>
      <c r="AG16" s="56"/>
      <c r="AH16" s="56"/>
      <c r="AI16" s="56"/>
      <c r="AJ16" s="56" t="s">
        <v>368</v>
      </c>
      <c r="AK16" s="56"/>
      <c r="AL16" s="56" t="s">
        <v>369</v>
      </c>
      <c r="AM16" s="58"/>
      <c r="AN16" s="56"/>
      <c r="AO16" s="56" t="s">
        <v>368</v>
      </c>
      <c r="AP16" s="58" t="s">
        <v>368</v>
      </c>
      <c r="AQ16" s="56" t="s">
        <v>368</v>
      </c>
      <c r="AR16" s="56" t="s">
        <v>368</v>
      </c>
      <c r="AS16" s="56"/>
      <c r="AT16" s="13" t="s">
        <v>370</v>
      </c>
      <c r="AU16" s="13"/>
      <c r="AV16" s="13" t="s">
        <v>370</v>
      </c>
      <c r="AW16" s="57" t="s">
        <v>370</v>
      </c>
      <c r="AX16" s="16" t="s">
        <v>370</v>
      </c>
      <c r="AY16" s="16" t="s">
        <v>370</v>
      </c>
      <c r="AZ16" s="16" t="s">
        <v>370</v>
      </c>
      <c r="BA16" s="16" t="s">
        <v>370</v>
      </c>
      <c r="BB16" s="16" t="s">
        <v>370</v>
      </c>
      <c r="BC16" s="16"/>
      <c r="BD16" s="16"/>
      <c r="BE16" s="20"/>
      <c r="BF16" s="16"/>
      <c r="BG16" s="233"/>
      <c r="BH16" s="233"/>
      <c r="BI16" s="233"/>
      <c r="BJ16" s="233"/>
    </row>
    <row r="17" spans="1:62" ht="25.15" customHeight="1">
      <c r="A17" s="13">
        <f t="shared" si="2"/>
        <v>15</v>
      </c>
      <c r="B17" s="95" t="s">
        <v>594</v>
      </c>
      <c r="C17" s="95" t="s">
        <v>595</v>
      </c>
      <c r="D17" s="95" t="s">
        <v>378</v>
      </c>
      <c r="E17" s="95" t="s">
        <v>210</v>
      </c>
      <c r="F17" s="97" t="s">
        <v>211</v>
      </c>
      <c r="G17" s="97" t="s">
        <v>212</v>
      </c>
      <c r="H17" s="94" t="s">
        <v>191</v>
      </c>
      <c r="I17" s="58"/>
      <c r="J17" s="58"/>
      <c r="K17" s="58"/>
      <c r="L17" s="58"/>
      <c r="M17" s="58"/>
      <c r="N17" s="58"/>
      <c r="O17" s="58"/>
      <c r="P17" s="58"/>
      <c r="Q17" s="56" t="s">
        <v>368</v>
      </c>
      <c r="R17" s="56"/>
      <c r="S17" s="56"/>
      <c r="T17" s="56"/>
      <c r="U17" s="56" t="s">
        <v>368</v>
      </c>
      <c r="V17" s="56" t="s">
        <v>368</v>
      </c>
      <c r="W17" s="56" t="s">
        <v>368</v>
      </c>
      <c r="X17" s="56" t="s">
        <v>368</v>
      </c>
      <c r="Y17" s="56"/>
      <c r="Z17" s="56"/>
      <c r="AA17" s="56"/>
      <c r="AB17" s="58" t="s">
        <v>368</v>
      </c>
      <c r="AC17" s="58" t="s">
        <v>368</v>
      </c>
      <c r="AD17" s="56" t="s">
        <v>368</v>
      </c>
      <c r="AE17" s="56"/>
      <c r="AF17" s="56"/>
      <c r="AG17" s="56"/>
      <c r="AH17" s="56" t="s">
        <v>368</v>
      </c>
      <c r="AI17" s="56" t="s">
        <v>368</v>
      </c>
      <c r="AJ17" s="56" t="s">
        <v>368</v>
      </c>
      <c r="AK17" s="56"/>
      <c r="AL17" s="56" t="s">
        <v>369</v>
      </c>
      <c r="AM17" s="58"/>
      <c r="AN17" s="56"/>
      <c r="AO17" s="56"/>
      <c r="AP17" s="58" t="s">
        <v>368</v>
      </c>
      <c r="AQ17" s="56" t="s">
        <v>368</v>
      </c>
      <c r="AR17" s="56"/>
      <c r="AS17" s="56"/>
      <c r="AT17" s="13"/>
      <c r="AU17" s="13" t="s">
        <v>370</v>
      </c>
      <c r="AV17" s="13" t="s">
        <v>370</v>
      </c>
      <c r="AW17" s="57" t="s">
        <v>370</v>
      </c>
      <c r="AX17" s="16" t="s">
        <v>370</v>
      </c>
      <c r="AY17" s="16" t="s">
        <v>370</v>
      </c>
      <c r="AZ17" s="16"/>
      <c r="BA17" s="16"/>
      <c r="BB17" s="16"/>
      <c r="BC17" s="16"/>
      <c r="BD17" s="16"/>
      <c r="BE17" s="20"/>
      <c r="BF17" s="16"/>
      <c r="BG17" s="233"/>
      <c r="BH17" s="233"/>
      <c r="BI17" s="233"/>
      <c r="BJ17" s="233"/>
    </row>
    <row r="18" spans="1:62" ht="25.15" customHeight="1">
      <c r="A18" s="13">
        <f t="shared" si="2"/>
        <v>16</v>
      </c>
      <c r="B18" s="95" t="s">
        <v>596</v>
      </c>
      <c r="C18" s="95" t="s">
        <v>597</v>
      </c>
      <c r="D18" s="95" t="s">
        <v>404</v>
      </c>
      <c r="E18" s="95" t="s">
        <v>213</v>
      </c>
      <c r="F18" s="242" t="s">
        <v>214</v>
      </c>
      <c r="G18" s="97" t="s">
        <v>215</v>
      </c>
      <c r="H18" s="94" t="s">
        <v>191</v>
      </c>
      <c r="I18" s="200"/>
      <c r="J18" s="200"/>
      <c r="K18" s="200"/>
      <c r="L18" s="200"/>
      <c r="M18" s="200"/>
      <c r="N18" s="200"/>
      <c r="O18" s="200"/>
      <c r="P18" s="200"/>
      <c r="Q18" s="201" t="s">
        <v>368</v>
      </c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8"/>
      <c r="AC18" s="58"/>
      <c r="AD18" s="56"/>
      <c r="AE18" s="56"/>
      <c r="AF18" s="56"/>
      <c r="AG18" s="56"/>
      <c r="AH18" s="56"/>
      <c r="AI18" s="56"/>
      <c r="AJ18" s="56"/>
      <c r="AK18" s="56"/>
      <c r="AL18" s="56"/>
      <c r="AM18" s="58"/>
      <c r="AN18" s="56"/>
      <c r="AO18" s="56"/>
      <c r="AP18" s="58"/>
      <c r="AQ18" s="56"/>
      <c r="AR18" s="56"/>
      <c r="AS18" s="56"/>
      <c r="AT18" s="13"/>
      <c r="AU18" s="13"/>
      <c r="AV18" s="13"/>
      <c r="AW18" s="57"/>
      <c r="AX18" s="16"/>
      <c r="AY18" s="16"/>
      <c r="AZ18" s="16"/>
      <c r="BA18" s="16"/>
      <c r="BB18" s="16"/>
      <c r="BC18" s="16"/>
      <c r="BD18" s="16"/>
      <c r="BE18" s="20"/>
      <c r="BF18" s="16" t="s">
        <v>370</v>
      </c>
      <c r="BG18" s="233"/>
      <c r="BH18" s="233"/>
      <c r="BI18" s="233"/>
      <c r="BJ18" s="233"/>
    </row>
    <row r="19" spans="1:62" ht="25.15" customHeight="1">
      <c r="A19" s="13">
        <f t="shared" si="2"/>
        <v>17</v>
      </c>
      <c r="B19" s="109" t="s">
        <v>598</v>
      </c>
      <c r="C19" s="109" t="s">
        <v>599</v>
      </c>
      <c r="D19" s="109" t="s">
        <v>373</v>
      </c>
      <c r="E19" s="109" t="s">
        <v>216</v>
      </c>
      <c r="F19" s="110" t="s">
        <v>217</v>
      </c>
      <c r="G19" s="546" t="s">
        <v>218</v>
      </c>
      <c r="H19" s="94" t="s">
        <v>191</v>
      </c>
      <c r="I19" s="83" t="s">
        <v>368</v>
      </c>
      <c r="J19" s="83" t="s">
        <v>368</v>
      </c>
      <c r="K19" s="83" t="s">
        <v>368</v>
      </c>
      <c r="L19" s="83"/>
      <c r="M19" s="83"/>
      <c r="N19" s="83" t="s">
        <v>368</v>
      </c>
      <c r="O19" s="243" t="s">
        <v>368</v>
      </c>
      <c r="P19" s="243"/>
      <c r="Q19" s="84" t="s">
        <v>368</v>
      </c>
      <c r="R19" s="84"/>
      <c r="S19" s="84"/>
      <c r="T19" s="56"/>
      <c r="U19" s="56" t="s">
        <v>368</v>
      </c>
      <c r="V19" s="56" t="s">
        <v>368</v>
      </c>
      <c r="W19" s="56" t="s">
        <v>368</v>
      </c>
      <c r="X19" s="56" t="s">
        <v>368</v>
      </c>
      <c r="Y19" s="56" t="s">
        <v>368</v>
      </c>
      <c r="Z19" s="56"/>
      <c r="AA19" s="56" t="s">
        <v>368</v>
      </c>
      <c r="AB19" s="58" t="s">
        <v>368</v>
      </c>
      <c r="AC19" s="58"/>
      <c r="AD19" s="56" t="s">
        <v>368</v>
      </c>
      <c r="AE19" s="56" t="s">
        <v>368</v>
      </c>
      <c r="AF19" s="56"/>
      <c r="AG19" s="56"/>
      <c r="AH19" s="56" t="s">
        <v>368</v>
      </c>
      <c r="AI19" s="56" t="s">
        <v>368</v>
      </c>
      <c r="AJ19" s="56" t="s">
        <v>368</v>
      </c>
      <c r="AK19" s="56" t="s">
        <v>368</v>
      </c>
      <c r="AL19" s="56"/>
      <c r="AM19" s="58"/>
      <c r="AN19" s="56" t="s">
        <v>368</v>
      </c>
      <c r="AO19" s="56" t="s">
        <v>368</v>
      </c>
      <c r="AP19" s="58" t="s">
        <v>368</v>
      </c>
      <c r="AQ19" s="56" t="s">
        <v>368</v>
      </c>
      <c r="AR19" s="56" t="s">
        <v>368</v>
      </c>
      <c r="AS19" s="56"/>
      <c r="AT19" s="13" t="s">
        <v>370</v>
      </c>
      <c r="AU19" s="13"/>
      <c r="AV19" s="13" t="s">
        <v>370</v>
      </c>
      <c r="AW19" s="57" t="s">
        <v>370</v>
      </c>
      <c r="AX19" s="16" t="s">
        <v>370</v>
      </c>
      <c r="AY19" s="16"/>
      <c r="AZ19" s="16" t="s">
        <v>370</v>
      </c>
      <c r="BA19" s="16"/>
      <c r="BB19" s="16"/>
      <c r="BC19" s="16"/>
      <c r="BD19" s="16"/>
      <c r="BE19" s="20"/>
      <c r="BF19" s="16"/>
      <c r="BG19" s="233" t="s">
        <v>370</v>
      </c>
      <c r="BH19" s="233" t="s">
        <v>370</v>
      </c>
      <c r="BI19" s="233" t="s">
        <v>370</v>
      </c>
      <c r="BJ19" s="233"/>
    </row>
    <row r="20" spans="1:62" ht="25.15" customHeight="1">
      <c r="A20" s="13">
        <f t="shared" si="2"/>
        <v>18</v>
      </c>
      <c r="B20" s="95" t="s">
        <v>600</v>
      </c>
      <c r="C20" s="95" t="s">
        <v>601</v>
      </c>
      <c r="D20" s="95" t="s">
        <v>404</v>
      </c>
      <c r="E20" s="95" t="s">
        <v>219</v>
      </c>
      <c r="F20" s="244" t="s">
        <v>220</v>
      </c>
      <c r="G20" s="547" t="s">
        <v>221</v>
      </c>
      <c r="H20" s="94" t="s">
        <v>191</v>
      </c>
      <c r="I20" s="58"/>
      <c r="J20" s="58"/>
      <c r="K20" s="58"/>
      <c r="L20" s="58"/>
      <c r="M20" s="58"/>
      <c r="N20" s="58"/>
      <c r="O20" s="58"/>
      <c r="P20" s="58"/>
      <c r="Q20" s="58"/>
      <c r="R20" s="241"/>
      <c r="S20" s="84" t="s">
        <v>368</v>
      </c>
      <c r="T20" s="56"/>
      <c r="U20" s="56"/>
      <c r="V20" s="56" t="s">
        <v>368</v>
      </c>
      <c r="W20" s="56"/>
      <c r="X20" s="56"/>
      <c r="Y20" s="56"/>
      <c r="Z20" s="56"/>
      <c r="AA20" s="56"/>
      <c r="AB20" s="58"/>
      <c r="AC20" s="58" t="s">
        <v>368</v>
      </c>
      <c r="AD20" s="56" t="s">
        <v>368</v>
      </c>
      <c r="AE20" s="56"/>
      <c r="AF20" s="56"/>
      <c r="AG20" s="56"/>
      <c r="AH20" s="56" t="s">
        <v>368</v>
      </c>
      <c r="AI20" s="56"/>
      <c r="AJ20" s="56"/>
      <c r="AK20" s="56"/>
      <c r="AL20" s="56"/>
      <c r="AM20" s="58"/>
      <c r="AN20" s="56" t="s">
        <v>368</v>
      </c>
      <c r="AO20" s="56" t="s">
        <v>368</v>
      </c>
      <c r="AP20" s="58"/>
      <c r="AQ20" s="56"/>
      <c r="AR20" s="56"/>
      <c r="AS20" s="56"/>
      <c r="AT20" s="13"/>
      <c r="AU20" s="13"/>
      <c r="AV20" s="13"/>
      <c r="AW20" s="57"/>
      <c r="AX20" s="16"/>
      <c r="AY20" s="16"/>
      <c r="AZ20" s="16"/>
      <c r="BA20" s="16"/>
      <c r="BB20" s="16"/>
      <c r="BC20" s="16"/>
      <c r="BD20" s="16"/>
      <c r="BE20" s="20"/>
      <c r="BF20" s="16"/>
      <c r="BG20" s="233"/>
      <c r="BH20" s="233"/>
      <c r="BI20" s="233"/>
      <c r="BJ20" s="233"/>
    </row>
    <row r="21" spans="1:62" ht="25.15" customHeight="1">
      <c r="A21" s="13">
        <f t="shared" si="2"/>
        <v>19</v>
      </c>
      <c r="B21" s="95" t="s">
        <v>602</v>
      </c>
      <c r="C21" s="95" t="s">
        <v>603</v>
      </c>
      <c r="D21" s="95" t="s">
        <v>378</v>
      </c>
      <c r="E21" s="95" t="s">
        <v>222</v>
      </c>
      <c r="F21" s="97" t="s">
        <v>223</v>
      </c>
      <c r="G21" s="97" t="s">
        <v>224</v>
      </c>
      <c r="H21" s="245" t="s">
        <v>191</v>
      </c>
      <c r="I21" s="58"/>
      <c r="J21" s="58"/>
      <c r="K21" s="58"/>
      <c r="L21" s="58"/>
      <c r="M21" s="58"/>
      <c r="N21" s="58"/>
      <c r="O21" s="164" t="s">
        <v>368</v>
      </c>
      <c r="P21" s="58"/>
      <c r="Q21" s="58"/>
      <c r="R21" s="239"/>
      <c r="S21" s="56" t="s">
        <v>368</v>
      </c>
      <c r="T21" s="56"/>
      <c r="U21" s="56"/>
      <c r="V21" s="56"/>
      <c r="W21" s="56"/>
      <c r="X21" s="56"/>
      <c r="Y21" s="56"/>
      <c r="Z21" s="56"/>
      <c r="AA21" s="56"/>
      <c r="AB21" s="58"/>
      <c r="AC21" s="58"/>
      <c r="AD21" s="56"/>
      <c r="AE21" s="56"/>
      <c r="AF21" s="56"/>
      <c r="AG21" s="56"/>
      <c r="AH21" s="56"/>
      <c r="AI21" s="56"/>
      <c r="AJ21" s="56"/>
      <c r="AK21" s="56"/>
      <c r="AL21" s="56"/>
      <c r="AM21" s="58"/>
      <c r="AN21" s="56" t="s">
        <v>368</v>
      </c>
      <c r="AO21" s="56"/>
      <c r="AP21" s="58"/>
      <c r="AQ21" s="56"/>
      <c r="AR21" s="56"/>
      <c r="AS21" s="56"/>
      <c r="AT21" s="13"/>
      <c r="AU21" s="13"/>
      <c r="AV21" s="13"/>
      <c r="AW21" s="57"/>
      <c r="AX21" s="16"/>
      <c r="AY21" s="16"/>
      <c r="AZ21" s="16"/>
      <c r="BA21" s="16"/>
      <c r="BB21" s="16"/>
      <c r="BC21" s="16"/>
      <c r="BD21" s="16"/>
      <c r="BE21" s="20"/>
      <c r="BF21" s="16"/>
      <c r="BG21" s="233"/>
      <c r="BH21" s="233"/>
      <c r="BI21" s="233"/>
      <c r="BJ21" s="233"/>
    </row>
    <row r="22" spans="1:62" ht="25.15" customHeight="1">
      <c r="A22" s="13">
        <f t="shared" si="2"/>
        <v>20</v>
      </c>
      <c r="B22" s="95" t="s">
        <v>604</v>
      </c>
      <c r="C22" s="95" t="s">
        <v>500</v>
      </c>
      <c r="D22" s="95" t="s">
        <v>404</v>
      </c>
      <c r="E22" s="95" t="s">
        <v>158</v>
      </c>
      <c r="F22" s="244" t="s">
        <v>225</v>
      </c>
      <c r="G22" s="246" t="s">
        <v>160</v>
      </c>
      <c r="H22" s="102" t="s">
        <v>191</v>
      </c>
      <c r="I22" s="83"/>
      <c r="J22" s="83"/>
      <c r="K22" s="83"/>
      <c r="L22" s="83"/>
      <c r="M22" s="83"/>
      <c r="N22" s="83"/>
      <c r="O22" s="83"/>
      <c r="P22" s="83"/>
      <c r="Q22" s="83"/>
      <c r="R22" s="247"/>
      <c r="S22" s="201" t="s">
        <v>368</v>
      </c>
      <c r="T22" s="84" t="s">
        <v>368</v>
      </c>
      <c r="U22" s="56"/>
      <c r="V22" s="56"/>
      <c r="W22" s="56"/>
      <c r="X22" s="56"/>
      <c r="Y22" s="56"/>
      <c r="Z22" s="56"/>
      <c r="AA22" s="56" t="s">
        <v>368</v>
      </c>
      <c r="AB22" s="58" t="s">
        <v>368</v>
      </c>
      <c r="AC22" s="58" t="s">
        <v>368</v>
      </c>
      <c r="AD22" s="56"/>
      <c r="AE22" s="56"/>
      <c r="AF22" s="56"/>
      <c r="AG22" s="56"/>
      <c r="AH22" s="56"/>
      <c r="AI22" s="56"/>
      <c r="AJ22" s="56"/>
      <c r="AK22" s="56"/>
      <c r="AL22" s="56"/>
      <c r="AM22" s="58"/>
      <c r="AN22" s="56"/>
      <c r="AO22" s="56"/>
      <c r="AP22" s="58"/>
      <c r="AQ22" s="56"/>
      <c r="AR22" s="56"/>
      <c r="AS22" s="56"/>
      <c r="AT22" s="13"/>
      <c r="AU22" s="13"/>
      <c r="AV22" s="13"/>
      <c r="AW22" s="57"/>
      <c r="AX22" s="16"/>
      <c r="AY22" s="16" t="s">
        <v>370</v>
      </c>
      <c r="AZ22" s="16"/>
      <c r="BA22" s="16"/>
      <c r="BB22" s="16"/>
      <c r="BC22" s="16"/>
      <c r="BD22" s="16"/>
      <c r="BE22" s="20"/>
      <c r="BF22" s="16"/>
      <c r="BG22" s="233"/>
      <c r="BH22" s="233"/>
      <c r="BI22" s="233"/>
      <c r="BJ22" s="233"/>
    </row>
    <row r="23" spans="1:62" ht="25.15" customHeight="1">
      <c r="A23" s="13">
        <f t="shared" si="2"/>
        <v>21</v>
      </c>
      <c r="B23" s="95" t="s">
        <v>605</v>
      </c>
      <c r="C23" s="95" t="s">
        <v>606</v>
      </c>
      <c r="D23" s="95" t="s">
        <v>404</v>
      </c>
      <c r="E23" s="95" t="s">
        <v>226</v>
      </c>
      <c r="F23" s="97" t="s">
        <v>227</v>
      </c>
      <c r="G23" s="95" t="s">
        <v>228</v>
      </c>
      <c r="H23" s="102" t="s">
        <v>191</v>
      </c>
      <c r="I23" s="58"/>
      <c r="J23" s="58"/>
      <c r="K23" s="58"/>
      <c r="L23" s="58"/>
      <c r="M23" s="58"/>
      <c r="N23" s="58"/>
      <c r="O23" s="58"/>
      <c r="P23" s="58"/>
      <c r="Q23" s="58"/>
      <c r="R23" s="83"/>
      <c r="S23" s="58"/>
      <c r="T23" s="56" t="s">
        <v>368</v>
      </c>
      <c r="U23" s="84"/>
      <c r="V23" s="56" t="s">
        <v>368</v>
      </c>
      <c r="W23" s="56"/>
      <c r="X23" s="56"/>
      <c r="Y23" s="56"/>
      <c r="Z23" s="56"/>
      <c r="AA23" s="56"/>
      <c r="AB23" s="58" t="s">
        <v>368</v>
      </c>
      <c r="AC23" s="58" t="s">
        <v>368</v>
      </c>
      <c r="AD23" s="56"/>
      <c r="AE23" s="56"/>
      <c r="AF23" s="56"/>
      <c r="AG23" s="56"/>
      <c r="AH23" s="56" t="s">
        <v>368</v>
      </c>
      <c r="AI23" s="56"/>
      <c r="AJ23" s="56"/>
      <c r="AK23" s="56"/>
      <c r="AL23" s="56" t="s">
        <v>369</v>
      </c>
      <c r="AM23" s="58"/>
      <c r="AN23" s="56" t="s">
        <v>368</v>
      </c>
      <c r="AO23" s="56"/>
      <c r="AP23" s="58"/>
      <c r="AQ23" s="56"/>
      <c r="AR23" s="56" t="s">
        <v>368</v>
      </c>
      <c r="AS23" s="56"/>
      <c r="AT23" s="13"/>
      <c r="AU23" s="13" t="s">
        <v>370</v>
      </c>
      <c r="AV23" s="13"/>
      <c r="AW23" s="57" t="s">
        <v>370</v>
      </c>
      <c r="AX23" s="16"/>
      <c r="AY23" s="16"/>
      <c r="AZ23" s="16"/>
      <c r="BA23" s="16" t="s">
        <v>370</v>
      </c>
      <c r="BB23" s="16" t="s">
        <v>370</v>
      </c>
      <c r="BC23" s="16"/>
      <c r="BD23" s="16" t="s">
        <v>370</v>
      </c>
      <c r="BE23" s="20"/>
      <c r="BF23" s="16" t="s">
        <v>370</v>
      </c>
      <c r="BG23" s="233"/>
      <c r="BH23" s="233"/>
      <c r="BI23" s="233"/>
      <c r="BJ23" s="233"/>
    </row>
    <row r="24" spans="1:62" ht="25.15" customHeight="1">
      <c r="A24" s="13">
        <f t="shared" si="2"/>
        <v>22</v>
      </c>
      <c r="B24" s="95" t="s">
        <v>607</v>
      </c>
      <c r="C24" s="95" t="s">
        <v>608</v>
      </c>
      <c r="D24" s="95" t="s">
        <v>378</v>
      </c>
      <c r="E24" s="95" t="s">
        <v>229</v>
      </c>
      <c r="F24" s="97" t="s">
        <v>230</v>
      </c>
      <c r="G24" s="97" t="s">
        <v>231</v>
      </c>
      <c r="H24" s="102" t="s">
        <v>191</v>
      </c>
      <c r="I24" s="248">
        <f t="shared" ref="I24:P24" si="3">COUNTIF(I3:I19,"yes")</f>
        <v>6</v>
      </c>
      <c r="J24" s="248">
        <f t="shared" si="3"/>
        <v>6</v>
      </c>
      <c r="K24" s="248">
        <f t="shared" si="3"/>
        <v>6</v>
      </c>
      <c r="L24" s="248">
        <f t="shared" si="3"/>
        <v>2</v>
      </c>
      <c r="M24" s="248">
        <f t="shared" si="3"/>
        <v>0</v>
      </c>
      <c r="N24" s="248">
        <f t="shared" si="3"/>
        <v>8</v>
      </c>
      <c r="O24" s="248">
        <f t="shared" si="3"/>
        <v>14</v>
      </c>
      <c r="P24" s="196">
        <f t="shared" si="3"/>
        <v>0</v>
      </c>
      <c r="Q24" s="196">
        <f>COUNTIF(Q3:Q22,"yes")</f>
        <v>11</v>
      </c>
      <c r="R24" s="58"/>
      <c r="S24" s="249">
        <f>COUNTIF(S3:S23,"yes")</f>
        <v>10</v>
      </c>
      <c r="T24" s="196">
        <f>COUNTIF(T3:T23,"yes")</f>
        <v>9</v>
      </c>
      <c r="U24" s="56" t="s">
        <v>368</v>
      </c>
      <c r="V24" s="56"/>
      <c r="W24" s="56"/>
      <c r="X24" s="56"/>
      <c r="Y24" s="56"/>
      <c r="Z24" s="56"/>
      <c r="AA24" s="56"/>
      <c r="AB24" s="58"/>
      <c r="AC24" s="58"/>
      <c r="AD24" s="56"/>
      <c r="AE24" s="56"/>
      <c r="AF24" s="56"/>
      <c r="AG24" s="56"/>
      <c r="AH24" s="56"/>
      <c r="AI24" s="56"/>
      <c r="AJ24" s="56"/>
      <c r="AK24" s="56"/>
      <c r="AL24" s="56"/>
      <c r="AM24" s="58"/>
      <c r="AN24" s="56"/>
      <c r="AO24" s="56"/>
      <c r="AP24" s="58"/>
      <c r="AQ24" s="56"/>
      <c r="AR24" s="56"/>
      <c r="AS24" s="56"/>
      <c r="AT24" s="13" t="s">
        <v>370</v>
      </c>
      <c r="AU24" s="13"/>
      <c r="AV24" s="13"/>
      <c r="AW24" s="57"/>
      <c r="AX24" s="16"/>
      <c r="AY24" s="16"/>
      <c r="AZ24" s="16"/>
      <c r="BA24" s="16"/>
      <c r="BB24" s="16"/>
      <c r="BC24" s="16"/>
      <c r="BD24" s="16"/>
      <c r="BE24" s="20"/>
      <c r="BF24" s="16"/>
      <c r="BG24" s="233"/>
      <c r="BH24" s="233"/>
      <c r="BI24" s="233"/>
      <c r="BJ24" s="233"/>
    </row>
    <row r="25" spans="1:62" ht="25.15" customHeight="1">
      <c r="A25" s="13">
        <f t="shared" si="2"/>
        <v>23</v>
      </c>
      <c r="B25" s="95" t="s">
        <v>609</v>
      </c>
      <c r="C25" s="95" t="s">
        <v>610</v>
      </c>
      <c r="D25" s="95" t="s">
        <v>404</v>
      </c>
      <c r="E25" s="95" t="s">
        <v>232</v>
      </c>
      <c r="F25" s="97" t="s">
        <v>233</v>
      </c>
      <c r="G25" s="97" t="s">
        <v>234</v>
      </c>
      <c r="H25" s="102" t="s">
        <v>191</v>
      </c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56" t="s">
        <v>368</v>
      </c>
      <c r="V25" s="56"/>
      <c r="W25" s="56"/>
      <c r="X25" s="56" t="s">
        <v>368</v>
      </c>
      <c r="Y25" s="56"/>
      <c r="Z25" s="56"/>
      <c r="AA25" s="56" t="s">
        <v>368</v>
      </c>
      <c r="AB25" s="58"/>
      <c r="AC25" s="58"/>
      <c r="AD25" s="56"/>
      <c r="AE25" s="56" t="s">
        <v>368</v>
      </c>
      <c r="AF25" s="56"/>
      <c r="AG25" s="56"/>
      <c r="AH25" s="56" t="s">
        <v>368</v>
      </c>
      <c r="AI25" s="56"/>
      <c r="AJ25" s="56" t="s">
        <v>368</v>
      </c>
      <c r="AK25" s="56" t="s">
        <v>368</v>
      </c>
      <c r="AL25" s="56"/>
      <c r="AM25" s="58"/>
      <c r="AN25" s="56"/>
      <c r="AO25" s="56"/>
      <c r="AP25" s="58"/>
      <c r="AQ25" s="56"/>
      <c r="AR25" s="56"/>
      <c r="AS25" s="56"/>
      <c r="AT25" s="13"/>
      <c r="AU25" s="13" t="s">
        <v>370</v>
      </c>
      <c r="AV25" s="13"/>
      <c r="AW25" s="57" t="s">
        <v>370</v>
      </c>
      <c r="AX25" s="16"/>
      <c r="AY25" s="16"/>
      <c r="AZ25" s="16"/>
      <c r="BA25" s="16"/>
      <c r="BB25" s="16"/>
      <c r="BC25" s="16"/>
      <c r="BD25" s="16"/>
      <c r="BE25" s="20"/>
      <c r="BF25" s="16"/>
      <c r="BG25" s="233"/>
      <c r="BH25" s="233"/>
      <c r="BI25" s="233"/>
      <c r="BJ25" s="233"/>
    </row>
    <row r="26" spans="1:62" ht="25.15" customHeight="1">
      <c r="A26" s="13">
        <f t="shared" si="2"/>
        <v>24</v>
      </c>
      <c r="B26" s="95" t="s">
        <v>611</v>
      </c>
      <c r="C26" s="95" t="s">
        <v>612</v>
      </c>
      <c r="D26" s="95" t="s">
        <v>378</v>
      </c>
      <c r="E26" s="95" t="s">
        <v>235</v>
      </c>
      <c r="F26" s="244" t="s">
        <v>236</v>
      </c>
      <c r="G26" s="547" t="s">
        <v>237</v>
      </c>
      <c r="H26" s="102" t="s">
        <v>191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56" t="s">
        <v>368</v>
      </c>
      <c r="V26" s="56"/>
      <c r="W26" s="56"/>
      <c r="X26" s="56"/>
      <c r="Y26" s="56"/>
      <c r="Z26" s="56"/>
      <c r="AA26" s="56"/>
      <c r="AB26" s="58"/>
      <c r="AC26" s="58"/>
      <c r="AD26" s="56"/>
      <c r="AE26" s="56"/>
      <c r="AF26" s="56"/>
      <c r="AG26" s="56"/>
      <c r="AH26" s="56"/>
      <c r="AI26" s="56" t="s">
        <v>368</v>
      </c>
      <c r="AJ26" s="56"/>
      <c r="AK26" s="56"/>
      <c r="AL26" s="56"/>
      <c r="AM26" s="58"/>
      <c r="AN26" s="56"/>
      <c r="AO26" s="56"/>
      <c r="AP26" s="58"/>
      <c r="AQ26" s="56"/>
      <c r="AR26" s="56"/>
      <c r="AS26" s="56"/>
      <c r="AT26" s="13"/>
      <c r="AU26" s="13"/>
      <c r="AV26" s="13"/>
      <c r="AW26" s="57"/>
      <c r="AX26" s="16"/>
      <c r="AY26" s="16"/>
      <c r="AZ26" s="16"/>
      <c r="BA26" s="16"/>
      <c r="BB26" s="16"/>
      <c r="BC26" s="16"/>
      <c r="BD26" s="16"/>
      <c r="BE26" s="20"/>
      <c r="BF26" s="16"/>
      <c r="BG26" s="233"/>
      <c r="BH26" s="233"/>
      <c r="BI26" s="233"/>
      <c r="BJ26" s="233"/>
    </row>
    <row r="27" spans="1:62" ht="25.15" customHeight="1">
      <c r="A27" s="13">
        <f t="shared" si="2"/>
        <v>25</v>
      </c>
      <c r="B27" s="250" t="s">
        <v>613</v>
      </c>
      <c r="C27" s="250" t="s">
        <v>380</v>
      </c>
      <c r="D27" s="250" t="s">
        <v>367</v>
      </c>
      <c r="E27" s="250" t="s">
        <v>20</v>
      </c>
      <c r="F27" s="250" t="s">
        <v>238</v>
      </c>
      <c r="G27" s="106" t="s">
        <v>22</v>
      </c>
      <c r="H27" s="102" t="s">
        <v>191</v>
      </c>
      <c r="I27" s="83" t="s">
        <v>368</v>
      </c>
      <c r="J27" s="83"/>
      <c r="K27" s="83"/>
      <c r="L27" s="83"/>
      <c r="M27" s="83"/>
      <c r="N27" s="83" t="s">
        <v>368</v>
      </c>
      <c r="O27" s="84"/>
      <c r="P27" s="56"/>
      <c r="Q27" s="56"/>
      <c r="R27" s="56"/>
      <c r="S27" s="56" t="s">
        <v>368</v>
      </c>
      <c r="T27" s="56" t="s">
        <v>368</v>
      </c>
      <c r="U27" s="84"/>
      <c r="V27" s="84" t="s">
        <v>368</v>
      </c>
      <c r="W27" s="84"/>
      <c r="X27" s="56"/>
      <c r="Y27" s="56" t="s">
        <v>368</v>
      </c>
      <c r="Z27" s="56"/>
      <c r="AA27" s="56" t="s">
        <v>368</v>
      </c>
      <c r="AB27" s="58"/>
      <c r="AC27" s="58"/>
      <c r="AD27" s="56" t="s">
        <v>368</v>
      </c>
      <c r="AE27" s="56" t="s">
        <v>368</v>
      </c>
      <c r="AF27" s="56"/>
      <c r="AG27" s="56"/>
      <c r="AH27" s="56" t="s">
        <v>368</v>
      </c>
      <c r="AI27" s="56" t="s">
        <v>368</v>
      </c>
      <c r="AJ27" s="56"/>
      <c r="AK27" s="56"/>
      <c r="AL27" s="56"/>
      <c r="AM27" s="58"/>
      <c r="AN27" s="56"/>
      <c r="AO27" s="56" t="s">
        <v>368</v>
      </c>
      <c r="AP27" s="58" t="s">
        <v>368</v>
      </c>
      <c r="AQ27" s="56" t="s">
        <v>368</v>
      </c>
      <c r="AR27" s="56"/>
      <c r="AS27" s="56"/>
      <c r="AT27" s="13"/>
      <c r="AU27" s="13"/>
      <c r="AV27" s="13" t="s">
        <v>370</v>
      </c>
      <c r="AW27" s="57" t="s">
        <v>370</v>
      </c>
      <c r="AX27" s="16"/>
      <c r="AY27" s="16" t="s">
        <v>370</v>
      </c>
      <c r="AZ27" s="16"/>
      <c r="BA27" s="16" t="s">
        <v>370</v>
      </c>
      <c r="BB27" s="16" t="s">
        <v>370</v>
      </c>
      <c r="BC27" s="16"/>
      <c r="BD27" s="16"/>
      <c r="BE27" s="20"/>
      <c r="BF27" s="16"/>
      <c r="BG27" s="233"/>
      <c r="BH27" s="233"/>
      <c r="BI27" s="233"/>
      <c r="BJ27" s="233"/>
    </row>
    <row r="28" spans="1:62" ht="25.15" customHeight="1">
      <c r="A28" s="13">
        <f t="shared" si="2"/>
        <v>26</v>
      </c>
      <c r="B28" s="95" t="s">
        <v>614</v>
      </c>
      <c r="C28" s="95" t="s">
        <v>539</v>
      </c>
      <c r="D28" s="95" t="s">
        <v>404</v>
      </c>
      <c r="E28" s="95" t="s">
        <v>239</v>
      </c>
      <c r="F28" s="244" t="s">
        <v>240</v>
      </c>
      <c r="G28" s="95" t="s">
        <v>241</v>
      </c>
      <c r="H28" s="102" t="s">
        <v>191</v>
      </c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58"/>
      <c r="V28" s="58"/>
      <c r="W28" s="84" t="s">
        <v>368</v>
      </c>
      <c r="X28" s="84"/>
      <c r="Y28" s="56" t="s">
        <v>368</v>
      </c>
      <c r="Z28" s="56"/>
      <c r="AA28" s="56"/>
      <c r="AB28" s="58"/>
      <c r="AC28" s="58" t="s">
        <v>368</v>
      </c>
      <c r="AD28" s="56"/>
      <c r="AE28" s="56"/>
      <c r="AF28" s="56"/>
      <c r="AG28" s="56"/>
      <c r="AH28" s="56"/>
      <c r="AI28" s="56"/>
      <c r="AJ28" s="56"/>
      <c r="AK28" s="56"/>
      <c r="AL28" s="56"/>
      <c r="AM28" s="58"/>
      <c r="AN28" s="56"/>
      <c r="AO28" s="56"/>
      <c r="AP28" s="58"/>
      <c r="AQ28" s="56"/>
      <c r="AR28" s="56"/>
      <c r="AS28" s="56"/>
      <c r="AT28" s="13"/>
      <c r="AU28" s="13"/>
      <c r="AV28" s="13"/>
      <c r="AW28" s="57"/>
      <c r="AX28" s="16"/>
      <c r="AY28" s="16"/>
      <c r="AZ28" s="16"/>
      <c r="BA28" s="16"/>
      <c r="BB28" s="16"/>
      <c r="BC28" s="16"/>
      <c r="BD28" s="16"/>
      <c r="BE28" s="20"/>
      <c r="BF28" s="16"/>
      <c r="BG28" s="233"/>
      <c r="BH28" s="233"/>
      <c r="BI28" s="233"/>
      <c r="BJ28" s="233"/>
    </row>
    <row r="29" spans="1:62" ht="25.15" customHeight="1">
      <c r="A29" s="13">
        <v>27</v>
      </c>
      <c r="B29" s="95" t="s">
        <v>615</v>
      </c>
      <c r="C29" s="95" t="s">
        <v>462</v>
      </c>
      <c r="D29" s="95" t="s">
        <v>404</v>
      </c>
      <c r="E29" s="95" t="s">
        <v>242</v>
      </c>
      <c r="F29" s="97" t="s">
        <v>243</v>
      </c>
      <c r="G29" s="97" t="s">
        <v>100</v>
      </c>
      <c r="H29" s="95" t="s">
        <v>191</v>
      </c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83"/>
      <c r="X29" s="84" t="s">
        <v>368</v>
      </c>
      <c r="Y29" s="56"/>
      <c r="Z29" s="56"/>
      <c r="AA29" s="56"/>
      <c r="AB29" s="58"/>
      <c r="AC29" s="58"/>
      <c r="AD29" s="56"/>
      <c r="AE29" s="56"/>
      <c r="AF29" s="56"/>
      <c r="AG29" s="56"/>
      <c r="AH29" s="56"/>
      <c r="AI29" s="56"/>
      <c r="AJ29" s="56"/>
      <c r="AK29" s="56"/>
      <c r="AL29" s="56"/>
      <c r="AM29" s="58"/>
      <c r="AN29" s="56"/>
      <c r="AO29" s="56"/>
      <c r="AP29" s="58"/>
      <c r="AQ29" s="56"/>
      <c r="AR29" s="56"/>
      <c r="AS29" s="56"/>
      <c r="AT29" s="13"/>
      <c r="AU29" s="13"/>
      <c r="AV29" s="13"/>
      <c r="AW29" s="57"/>
      <c r="AX29" s="16"/>
      <c r="AY29" s="16"/>
      <c r="AZ29" s="16"/>
      <c r="BA29" s="16"/>
      <c r="BB29" s="16"/>
      <c r="BC29" s="16"/>
      <c r="BD29" s="16"/>
      <c r="BE29" s="20"/>
      <c r="BF29" s="16"/>
      <c r="BG29" s="233"/>
      <c r="BH29" s="233"/>
      <c r="BI29" s="233"/>
      <c r="BJ29" s="233"/>
    </row>
    <row r="30" spans="1:62" ht="25.15" customHeight="1">
      <c r="A30" s="13">
        <v>28</v>
      </c>
      <c r="B30" s="95" t="s">
        <v>519</v>
      </c>
      <c r="C30" s="95" t="s">
        <v>471</v>
      </c>
      <c r="D30" s="95" t="s">
        <v>378</v>
      </c>
      <c r="E30" s="95" t="s">
        <v>244</v>
      </c>
      <c r="F30" s="97" t="s">
        <v>245</v>
      </c>
      <c r="G30" s="97" t="s">
        <v>246</v>
      </c>
      <c r="H30" s="95" t="s">
        <v>191</v>
      </c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83"/>
      <c r="X30" s="84" t="s">
        <v>368</v>
      </c>
      <c r="Y30" s="84"/>
      <c r="Z30" s="56"/>
      <c r="AA30" s="56"/>
      <c r="AB30" s="58"/>
      <c r="AC30" s="58"/>
      <c r="AD30" s="56"/>
      <c r="AE30" s="56"/>
      <c r="AF30" s="56"/>
      <c r="AG30" s="56"/>
      <c r="AH30" s="56"/>
      <c r="AI30" s="56"/>
      <c r="AJ30" s="56"/>
      <c r="AK30" s="56"/>
      <c r="AL30" s="56"/>
      <c r="AM30" s="58"/>
      <c r="AN30" s="56"/>
      <c r="AO30" s="56"/>
      <c r="AP30" s="58"/>
      <c r="AQ30" s="56"/>
      <c r="AR30" s="56"/>
      <c r="AS30" s="56"/>
      <c r="AT30" s="13"/>
      <c r="AU30" s="13"/>
      <c r="AV30" s="13"/>
      <c r="AW30" s="57"/>
      <c r="AX30" s="16" t="s">
        <v>370</v>
      </c>
      <c r="AY30" s="16"/>
      <c r="AZ30" s="16"/>
      <c r="BA30" s="16"/>
      <c r="BB30" s="16"/>
      <c r="BC30" s="16"/>
      <c r="BD30" s="16"/>
      <c r="BE30" s="20"/>
      <c r="BF30" s="16"/>
      <c r="BG30" s="233"/>
      <c r="BH30" s="233"/>
      <c r="BI30" s="233"/>
      <c r="BJ30" s="233"/>
    </row>
    <row r="31" spans="1:62" ht="25.15" customHeight="1">
      <c r="A31" s="13">
        <v>29</v>
      </c>
      <c r="B31" s="95" t="s">
        <v>616</v>
      </c>
      <c r="C31" s="95" t="s">
        <v>420</v>
      </c>
      <c r="D31" s="95" t="s">
        <v>378</v>
      </c>
      <c r="E31" s="95" t="s">
        <v>77</v>
      </c>
      <c r="F31" s="97" t="s">
        <v>78</v>
      </c>
      <c r="G31" s="97" t="s">
        <v>79</v>
      </c>
      <c r="H31" s="95" t="s">
        <v>191</v>
      </c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58"/>
      <c r="X31" s="58" t="s">
        <v>368</v>
      </c>
      <c r="Y31" s="84"/>
      <c r="Z31" s="84" t="s">
        <v>368</v>
      </c>
      <c r="AA31" s="56" t="s">
        <v>368</v>
      </c>
      <c r="AB31" s="58"/>
      <c r="AC31" s="58" t="s">
        <v>368</v>
      </c>
      <c r="AD31" s="56" t="s">
        <v>368</v>
      </c>
      <c r="AE31" s="56"/>
      <c r="AF31" s="56"/>
      <c r="AG31" s="56"/>
      <c r="AH31" s="56"/>
      <c r="AI31" s="56" t="s">
        <v>368</v>
      </c>
      <c r="AJ31" s="56" t="s">
        <v>368</v>
      </c>
      <c r="AK31" s="56" t="s">
        <v>368</v>
      </c>
      <c r="AL31" s="56"/>
      <c r="AM31" s="58"/>
      <c r="AN31" s="56" t="s">
        <v>368</v>
      </c>
      <c r="AO31" s="56" t="s">
        <v>368</v>
      </c>
      <c r="AP31" s="58"/>
      <c r="AQ31" s="56" t="s">
        <v>368</v>
      </c>
      <c r="AR31" s="56"/>
      <c r="AS31" s="56"/>
      <c r="AT31" s="13" t="s">
        <v>370</v>
      </c>
      <c r="AU31" s="13"/>
      <c r="AV31" s="13" t="s">
        <v>370</v>
      </c>
      <c r="AW31" s="57"/>
      <c r="AX31" s="16" t="s">
        <v>370</v>
      </c>
      <c r="AY31" s="16"/>
      <c r="AZ31" s="16"/>
      <c r="BA31" s="16" t="s">
        <v>370</v>
      </c>
      <c r="BB31" s="16"/>
      <c r="BC31" s="16" t="s">
        <v>370</v>
      </c>
      <c r="BD31" s="16"/>
      <c r="BE31" s="20"/>
      <c r="BF31" s="16" t="s">
        <v>370</v>
      </c>
      <c r="BG31" s="233"/>
      <c r="BH31" s="233" t="s">
        <v>370</v>
      </c>
      <c r="BI31" s="233"/>
      <c r="BJ31" s="233"/>
    </row>
    <row r="32" spans="1:62" ht="25.15" customHeight="1">
      <c r="A32" s="13">
        <v>30</v>
      </c>
      <c r="B32" s="95" t="s">
        <v>474</v>
      </c>
      <c r="C32" s="95" t="s">
        <v>475</v>
      </c>
      <c r="D32" s="95" t="s">
        <v>404</v>
      </c>
      <c r="E32" s="95" t="s">
        <v>247</v>
      </c>
      <c r="F32" s="97" t="s">
        <v>121</v>
      </c>
      <c r="G32" s="97" t="s">
        <v>122</v>
      </c>
      <c r="H32" s="95" t="s">
        <v>191</v>
      </c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83" t="s">
        <v>368</v>
      </c>
      <c r="Z32" s="84"/>
      <c r="AA32" s="84" t="s">
        <v>368</v>
      </c>
      <c r="AB32" s="58"/>
      <c r="AC32" s="58"/>
      <c r="AD32" s="56" t="s">
        <v>368</v>
      </c>
      <c r="AE32" s="56"/>
      <c r="AF32" s="56"/>
      <c r="AG32" s="56"/>
      <c r="AH32" s="56"/>
      <c r="AI32" s="56"/>
      <c r="AJ32" s="56"/>
      <c r="AK32" s="56" t="s">
        <v>368</v>
      </c>
      <c r="AL32" s="56"/>
      <c r="AM32" s="58"/>
      <c r="AN32" s="56"/>
      <c r="AO32" s="56"/>
      <c r="AP32" s="58"/>
      <c r="AQ32" s="56"/>
      <c r="AR32" s="56"/>
      <c r="AS32" s="56"/>
      <c r="AT32" s="13" t="s">
        <v>370</v>
      </c>
      <c r="AU32" s="13"/>
      <c r="AV32" s="13"/>
      <c r="AW32" s="57"/>
      <c r="AX32" s="16" t="s">
        <v>370</v>
      </c>
      <c r="AY32" s="16"/>
      <c r="AZ32" s="16"/>
      <c r="BA32" s="16"/>
      <c r="BB32" s="16"/>
      <c r="BC32" s="16"/>
      <c r="BD32" s="16"/>
      <c r="BE32" s="20"/>
      <c r="BF32" s="16"/>
      <c r="BG32" s="233"/>
      <c r="BH32" s="233"/>
      <c r="BI32" s="233"/>
      <c r="BJ32" s="233"/>
    </row>
    <row r="33" spans="1:62" ht="25.15" customHeight="1">
      <c r="A33" s="58">
        <v>31</v>
      </c>
      <c r="B33" s="95" t="s">
        <v>617</v>
      </c>
      <c r="C33" s="95" t="s">
        <v>618</v>
      </c>
      <c r="D33" s="95" t="s">
        <v>404</v>
      </c>
      <c r="E33" s="95" t="s">
        <v>248</v>
      </c>
      <c r="F33" s="244" t="s">
        <v>249</v>
      </c>
      <c r="G33" s="95" t="s">
        <v>250</v>
      </c>
      <c r="H33" s="95" t="s">
        <v>191</v>
      </c>
      <c r="I33" s="251">
        <f>COUNTIF(Voyagers!I3:I24,"yes")</f>
        <v>4</v>
      </c>
      <c r="J33" s="251">
        <f>COUNTIF(Voyagers!J3:J24,"yes")</f>
        <v>4</v>
      </c>
      <c r="K33" s="251">
        <f>COUNTIF(Voyagers!K3:K24,"yes")</f>
        <v>2</v>
      </c>
      <c r="L33" s="251">
        <f>COUNTIF(Voyagers!L3:L24,"yes")</f>
        <v>6</v>
      </c>
      <c r="M33" s="251">
        <f>COUNTIF(Voyagers!M3:M24,"yes")</f>
        <v>0</v>
      </c>
      <c r="N33" s="251">
        <f>COUNTIF(Voyagers!N3:N24,"yes")</f>
        <v>8</v>
      </c>
      <c r="O33" s="251">
        <f>COUNTIF(Voyagers!O3:O24,"yes")</f>
        <v>11</v>
      </c>
      <c r="P33" s="251">
        <f>COUNTIF(Voyagers!P3:P24,"yes")</f>
        <v>10</v>
      </c>
      <c r="Q33" s="251">
        <f>COUNTIF(Voyagers!Q3:Q28,"yes")</f>
        <v>15</v>
      </c>
      <c r="R33" s="47"/>
      <c r="S33" s="251">
        <f>COUNTIF(Voyagers!S3:S31,"yes")</f>
        <v>13</v>
      </c>
      <c r="T33" s="251">
        <f>COUNTIF(Voyagers!T3:T31,"yes")</f>
        <v>13</v>
      </c>
      <c r="U33" s="47"/>
      <c r="V33" s="47"/>
      <c r="W33" s="83"/>
      <c r="X33" s="84" t="s">
        <v>368</v>
      </c>
      <c r="Y33" s="58" t="s">
        <v>368</v>
      </c>
      <c r="Z33" s="56"/>
      <c r="AA33" s="56"/>
      <c r="AB33" s="58" t="s">
        <v>368</v>
      </c>
      <c r="AC33" s="58"/>
      <c r="AD33" s="56" t="s">
        <v>368</v>
      </c>
      <c r="AE33" s="56" t="s">
        <v>368</v>
      </c>
      <c r="AF33" s="56"/>
      <c r="AG33" s="56"/>
      <c r="AH33" s="56" t="s">
        <v>368</v>
      </c>
      <c r="AI33" s="56" t="s">
        <v>368</v>
      </c>
      <c r="AJ33" s="56" t="s">
        <v>368</v>
      </c>
      <c r="AK33" s="56" t="s">
        <v>368</v>
      </c>
      <c r="AL33" s="56" t="s">
        <v>369</v>
      </c>
      <c r="AM33" s="58"/>
      <c r="AN33" s="56" t="s">
        <v>368</v>
      </c>
      <c r="AO33" s="56" t="s">
        <v>368</v>
      </c>
      <c r="AP33" s="58" t="s">
        <v>368</v>
      </c>
      <c r="AQ33" s="56" t="s">
        <v>368</v>
      </c>
      <c r="AR33" s="56"/>
      <c r="AS33" s="56"/>
      <c r="AT33" s="13"/>
      <c r="AU33" s="13" t="s">
        <v>370</v>
      </c>
      <c r="AV33" s="13" t="s">
        <v>370</v>
      </c>
      <c r="AW33" s="57" t="s">
        <v>370</v>
      </c>
      <c r="AX33" s="16"/>
      <c r="AY33" s="16"/>
      <c r="AZ33" s="16" t="s">
        <v>370</v>
      </c>
      <c r="BA33" s="16" t="s">
        <v>370</v>
      </c>
      <c r="BB33" s="16" t="s">
        <v>370</v>
      </c>
      <c r="BC33" s="16"/>
      <c r="BD33" s="16"/>
      <c r="BE33" s="20"/>
      <c r="BF33" s="16"/>
      <c r="BG33" s="233"/>
      <c r="BH33" s="233"/>
      <c r="BI33" s="233"/>
      <c r="BJ33" s="233"/>
    </row>
    <row r="34" spans="1:62" ht="25.15" customHeight="1">
      <c r="A34" s="58">
        <f>Voyagers!A30+1</f>
        <v>50</v>
      </c>
      <c r="B34" s="95" t="s">
        <v>619</v>
      </c>
      <c r="C34" s="95" t="s">
        <v>413</v>
      </c>
      <c r="D34" s="95" t="s">
        <v>404</v>
      </c>
      <c r="E34" s="95" t="s">
        <v>65</v>
      </c>
      <c r="F34" s="244" t="s">
        <v>66</v>
      </c>
      <c r="G34" s="246" t="s">
        <v>67</v>
      </c>
      <c r="H34" s="95" t="s">
        <v>191</v>
      </c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56"/>
      <c r="U34" s="56"/>
      <c r="V34" s="58"/>
      <c r="W34" s="198" t="s">
        <v>368</v>
      </c>
      <c r="X34" s="84" t="s">
        <v>368</v>
      </c>
      <c r="Y34" s="84" t="s">
        <v>368</v>
      </c>
      <c r="Z34" s="56" t="s">
        <v>368</v>
      </c>
      <c r="AA34" s="56" t="s">
        <v>368</v>
      </c>
      <c r="AB34" s="58" t="s">
        <v>368</v>
      </c>
      <c r="AC34" s="58" t="s">
        <v>368</v>
      </c>
      <c r="AD34" s="56"/>
      <c r="AE34" s="56" t="s">
        <v>368</v>
      </c>
      <c r="AF34" s="56"/>
      <c r="AG34" s="56"/>
      <c r="AH34" s="56" t="s">
        <v>368</v>
      </c>
      <c r="AI34" s="56" t="s">
        <v>368</v>
      </c>
      <c r="AJ34" s="56"/>
      <c r="AK34" s="56" t="s">
        <v>368</v>
      </c>
      <c r="AL34" s="56"/>
      <c r="AM34" s="58"/>
      <c r="AN34" s="56"/>
      <c r="AO34" s="56" t="s">
        <v>368</v>
      </c>
      <c r="AP34" s="58"/>
      <c r="AQ34" s="56" t="s">
        <v>368</v>
      </c>
      <c r="AR34" s="56"/>
      <c r="AS34" s="56"/>
      <c r="AT34" s="13"/>
      <c r="AU34" s="13"/>
      <c r="AV34" s="13" t="s">
        <v>370</v>
      </c>
      <c r="AW34" s="57"/>
      <c r="AX34" s="16"/>
      <c r="AY34" s="16"/>
      <c r="AZ34" s="16" t="s">
        <v>370</v>
      </c>
      <c r="BA34" s="16" t="s">
        <v>370</v>
      </c>
      <c r="BB34" s="16" t="s">
        <v>370</v>
      </c>
      <c r="BC34" s="16" t="s">
        <v>370</v>
      </c>
      <c r="BD34" s="16"/>
      <c r="BE34" s="20"/>
      <c r="BF34" s="16"/>
      <c r="BG34" s="233"/>
      <c r="BH34" s="233"/>
      <c r="BI34" s="233" t="s">
        <v>370</v>
      </c>
      <c r="BJ34" s="233"/>
    </row>
    <row r="35" spans="1:62" ht="25.15" customHeight="1">
      <c r="A35" s="58">
        <f>Voyagers!A31+1</f>
        <v>51</v>
      </c>
      <c r="B35" s="95" t="s">
        <v>620</v>
      </c>
      <c r="C35" s="95"/>
      <c r="D35" s="95"/>
      <c r="E35" s="95"/>
      <c r="F35" s="97"/>
      <c r="G35" s="94"/>
      <c r="H35" s="95" t="s">
        <v>191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58"/>
      <c r="X35" s="56" t="s">
        <v>368</v>
      </c>
      <c r="Y35" s="84" t="s">
        <v>368</v>
      </c>
      <c r="Z35" s="84"/>
      <c r="AA35" s="84" t="s">
        <v>368</v>
      </c>
      <c r="AB35" s="83"/>
      <c r="AC35" s="83"/>
      <c r="AD35" s="84" t="s">
        <v>368</v>
      </c>
      <c r="AE35" s="56"/>
      <c r="AF35" s="56"/>
      <c r="AG35" s="56"/>
      <c r="AH35" s="56"/>
      <c r="AI35" s="56"/>
      <c r="AJ35" s="56"/>
      <c r="AK35" s="84"/>
      <c r="AL35" s="56"/>
      <c r="AM35" s="58"/>
      <c r="AN35" s="56"/>
      <c r="AO35" s="56"/>
      <c r="AP35" s="58"/>
      <c r="AQ35" s="56"/>
      <c r="AR35" s="56"/>
      <c r="AS35" s="56"/>
      <c r="AT35" s="13"/>
      <c r="AU35" s="13"/>
      <c r="AV35" s="13"/>
      <c r="AW35" s="57"/>
      <c r="AX35" s="16"/>
      <c r="AY35" s="16"/>
      <c r="AZ35" s="16"/>
      <c r="BA35" s="16"/>
      <c r="BB35" s="16"/>
      <c r="BC35" s="173"/>
      <c r="BD35" s="16"/>
      <c r="BE35" s="20"/>
      <c r="BF35" s="16"/>
      <c r="BG35" s="233"/>
      <c r="BH35" s="233"/>
      <c r="BI35" s="233"/>
      <c r="BJ35" s="233"/>
    </row>
    <row r="36" spans="1:62" ht="25.15" customHeight="1">
      <c r="A36" s="13">
        <v>34</v>
      </c>
      <c r="B36" s="95" t="s">
        <v>621</v>
      </c>
      <c r="C36" s="95" t="s">
        <v>539</v>
      </c>
      <c r="D36" s="95" t="s">
        <v>378</v>
      </c>
      <c r="E36" s="95" t="s">
        <v>251</v>
      </c>
      <c r="F36" s="97" t="s">
        <v>252</v>
      </c>
      <c r="G36" s="97" t="s">
        <v>253</v>
      </c>
      <c r="H36" s="95" t="s">
        <v>191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58"/>
      <c r="Z36" s="58"/>
      <c r="AA36" s="58"/>
      <c r="AB36" s="58"/>
      <c r="AC36" s="58"/>
      <c r="AD36" s="56"/>
      <c r="AE36" s="56"/>
      <c r="AF36" s="56"/>
      <c r="AG36" s="56"/>
      <c r="AH36" s="56"/>
      <c r="AI36" s="58"/>
      <c r="AJ36" s="47"/>
      <c r="AK36" s="84" t="s">
        <v>368</v>
      </c>
      <c r="AL36" s="84"/>
      <c r="AM36" s="83"/>
      <c r="AN36" s="84"/>
      <c r="AO36" s="56"/>
      <c r="AP36" s="58"/>
      <c r="AQ36" s="56"/>
      <c r="AR36" s="56" t="s">
        <v>368</v>
      </c>
      <c r="AS36" s="56"/>
      <c r="AT36" s="13"/>
      <c r="AU36" s="13"/>
      <c r="AV36" s="13"/>
      <c r="AW36" s="57"/>
      <c r="AX36" s="16"/>
      <c r="AY36" s="16"/>
      <c r="AZ36" s="16"/>
      <c r="BA36" s="16"/>
      <c r="BB36" s="16"/>
      <c r="BC36" s="173"/>
      <c r="BD36" s="16"/>
      <c r="BE36" s="20"/>
      <c r="BF36" s="16"/>
      <c r="BG36" s="233"/>
      <c r="BH36" s="233"/>
      <c r="BI36" s="233"/>
      <c r="BJ36" s="233"/>
    </row>
    <row r="37" spans="1:62" ht="25.15" customHeight="1">
      <c r="A37" s="13">
        <v>35</v>
      </c>
      <c r="B37" s="95" t="s">
        <v>622</v>
      </c>
      <c r="C37" s="95"/>
      <c r="D37" s="95"/>
      <c r="E37" s="244"/>
      <c r="F37" s="252"/>
      <c r="G37" s="95"/>
      <c r="H37" s="95" t="s">
        <v>191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58"/>
      <c r="AL37" s="58"/>
      <c r="AM37" s="58"/>
      <c r="AN37" s="56" t="s">
        <v>368</v>
      </c>
      <c r="AO37" s="56"/>
      <c r="AP37" s="58"/>
      <c r="AQ37" s="56"/>
      <c r="AR37" s="56"/>
      <c r="AS37" s="56"/>
      <c r="AT37" s="13"/>
      <c r="AU37" s="13"/>
      <c r="AV37" s="13"/>
      <c r="AW37" s="57"/>
      <c r="AX37" s="16"/>
      <c r="AY37" s="16"/>
      <c r="AZ37" s="16"/>
      <c r="BA37" s="16"/>
      <c r="BB37" s="16"/>
      <c r="BC37" s="173"/>
      <c r="BD37" s="16"/>
      <c r="BE37" s="20"/>
      <c r="BF37" s="16"/>
      <c r="BG37" s="233"/>
      <c r="BH37" s="233"/>
      <c r="BI37" s="233"/>
      <c r="BJ37" s="233"/>
    </row>
    <row r="38" spans="1:62" ht="25.15" customHeight="1">
      <c r="A38" s="13">
        <v>36</v>
      </c>
      <c r="B38" s="95" t="s">
        <v>611</v>
      </c>
      <c r="C38" s="95"/>
      <c r="D38" s="95"/>
      <c r="E38" s="95"/>
      <c r="F38" s="95"/>
      <c r="G38" s="95"/>
      <c r="H38" s="95" t="s">
        <v>191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13"/>
      <c r="AU38" s="13"/>
      <c r="AV38" s="13"/>
      <c r="AW38" s="57" t="s">
        <v>370</v>
      </c>
      <c r="AX38" s="39"/>
      <c r="AY38" s="16"/>
      <c r="AZ38" s="16"/>
      <c r="BA38" s="16"/>
      <c r="BB38" s="16"/>
      <c r="BC38" s="173"/>
      <c r="BD38" s="16"/>
      <c r="BE38" s="20"/>
      <c r="BF38" s="16"/>
      <c r="BG38" s="233"/>
      <c r="BH38" s="233"/>
      <c r="BI38" s="233"/>
      <c r="BJ38" s="233"/>
    </row>
    <row r="39" spans="1:62" ht="25.15" customHeight="1">
      <c r="A39" s="13">
        <v>37</v>
      </c>
      <c r="B39" s="95" t="s">
        <v>623</v>
      </c>
      <c r="C39" s="95" t="s">
        <v>624</v>
      </c>
      <c r="D39" s="95" t="s">
        <v>404</v>
      </c>
      <c r="E39" s="95" t="s">
        <v>625</v>
      </c>
      <c r="F39" s="97" t="s">
        <v>626</v>
      </c>
      <c r="G39" s="95" t="s">
        <v>627</v>
      </c>
      <c r="H39" s="95" t="s">
        <v>191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13"/>
      <c r="AU39" s="13"/>
      <c r="AV39" s="13"/>
      <c r="AW39" s="57"/>
      <c r="AX39" s="16" t="s">
        <v>370</v>
      </c>
      <c r="AY39" s="16"/>
      <c r="AZ39" s="16" t="s">
        <v>370</v>
      </c>
      <c r="BA39" s="16"/>
      <c r="BB39" s="16"/>
      <c r="BC39" s="173"/>
      <c r="BD39" s="16"/>
      <c r="BE39" s="20"/>
      <c r="BF39" s="16"/>
      <c r="BG39" s="233"/>
      <c r="BH39" s="233"/>
      <c r="BI39" s="233"/>
      <c r="BJ39" s="233"/>
    </row>
    <row r="40" spans="1:62" ht="25.15" customHeight="1">
      <c r="A40" s="85">
        <v>38</v>
      </c>
      <c r="B40" s="105" t="s">
        <v>519</v>
      </c>
      <c r="C40" s="105" t="s">
        <v>628</v>
      </c>
      <c r="D40" s="105" t="s">
        <v>378</v>
      </c>
      <c r="E40" s="105" t="s">
        <v>629</v>
      </c>
      <c r="F40" s="253" t="s">
        <v>630</v>
      </c>
      <c r="G40" s="105" t="s">
        <v>631</v>
      </c>
      <c r="H40" s="105" t="s">
        <v>191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85"/>
      <c r="AU40" s="85"/>
      <c r="AV40" s="85"/>
      <c r="AW40" s="86"/>
      <c r="AX40" s="39" t="s">
        <v>370</v>
      </c>
      <c r="AY40" s="39"/>
      <c r="AZ40" s="39"/>
      <c r="BA40" s="16"/>
      <c r="BB40" s="16"/>
      <c r="BC40" s="173"/>
      <c r="BD40" s="16"/>
      <c r="BE40" s="20"/>
      <c r="BF40" s="16" t="s">
        <v>370</v>
      </c>
      <c r="BG40" s="233" t="s">
        <v>370</v>
      </c>
      <c r="BH40" s="233"/>
      <c r="BI40" s="233"/>
      <c r="BJ40" s="233"/>
    </row>
    <row r="41" spans="1:62" ht="21" customHeight="1">
      <c r="A41" s="83">
        <v>39</v>
      </c>
      <c r="B41" s="103" t="s">
        <v>632</v>
      </c>
      <c r="C41" s="103" t="s">
        <v>633</v>
      </c>
      <c r="D41" s="103" t="s">
        <v>367</v>
      </c>
      <c r="E41" s="103" t="s">
        <v>108</v>
      </c>
      <c r="F41" s="254" t="s">
        <v>109</v>
      </c>
      <c r="G41" s="254" t="s">
        <v>110</v>
      </c>
      <c r="H41" s="106" t="s">
        <v>191</v>
      </c>
      <c r="I41" s="42"/>
      <c r="J41" s="42"/>
      <c r="K41" s="42"/>
      <c r="L41" s="42"/>
      <c r="M41" s="42"/>
      <c r="N41" s="42" t="s">
        <v>368</v>
      </c>
      <c r="O41" s="255" t="s">
        <v>368</v>
      </c>
      <c r="P41" s="42" t="s">
        <v>368</v>
      </c>
      <c r="Q41" s="42"/>
      <c r="R41" s="42"/>
      <c r="S41" s="42" t="s">
        <v>368</v>
      </c>
      <c r="T41" s="42"/>
      <c r="U41" s="42" t="s">
        <v>368</v>
      </c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256"/>
      <c r="AU41" s="256"/>
      <c r="AV41" s="256"/>
      <c r="AW41" s="256"/>
      <c r="AX41" s="42" t="s">
        <v>370</v>
      </c>
      <c r="AY41" s="42"/>
      <c r="AZ41" s="42" t="s">
        <v>370</v>
      </c>
      <c r="BA41" s="107"/>
      <c r="BB41" s="39"/>
      <c r="BC41" s="173"/>
      <c r="BD41" s="16"/>
      <c r="BE41" s="20"/>
      <c r="BF41" s="16"/>
      <c r="BG41" s="233" t="s">
        <v>370</v>
      </c>
      <c r="BH41" s="233"/>
      <c r="BI41" s="233" t="s">
        <v>370</v>
      </c>
      <c r="BJ41" s="233"/>
    </row>
    <row r="42" spans="1:62" ht="30" customHeight="1">
      <c r="A42" s="257">
        <v>40</v>
      </c>
      <c r="B42" s="108" t="s">
        <v>395</v>
      </c>
      <c r="C42" s="108" t="s">
        <v>634</v>
      </c>
      <c r="D42" s="108" t="s">
        <v>404</v>
      </c>
      <c r="E42" s="108" t="s">
        <v>61</v>
      </c>
      <c r="F42" s="258" t="s">
        <v>62</v>
      </c>
      <c r="G42" s="259" t="s">
        <v>138</v>
      </c>
      <c r="H42" s="106" t="s">
        <v>191</v>
      </c>
      <c r="I42" s="20"/>
      <c r="J42" s="20"/>
      <c r="K42" s="20"/>
      <c r="L42" s="20"/>
      <c r="M42" s="20"/>
      <c r="N42" s="20"/>
      <c r="O42" s="20"/>
      <c r="P42" s="20"/>
      <c r="Q42" s="39" t="s">
        <v>368</v>
      </c>
      <c r="R42" s="16"/>
      <c r="S42" s="16"/>
      <c r="T42" s="16" t="s">
        <v>368</v>
      </c>
      <c r="U42" s="16"/>
      <c r="V42" s="16"/>
      <c r="W42" s="16" t="s">
        <v>368</v>
      </c>
      <c r="X42" s="16"/>
      <c r="Y42" s="16"/>
      <c r="Z42" s="16"/>
      <c r="AA42" s="16"/>
      <c r="AB42" s="20"/>
      <c r="AC42" s="20" t="s">
        <v>368</v>
      </c>
      <c r="AD42" s="16"/>
      <c r="AE42" s="16"/>
      <c r="AF42" s="16"/>
      <c r="AG42" s="16"/>
      <c r="AH42" s="16"/>
      <c r="AI42" s="16"/>
      <c r="AJ42" s="16" t="s">
        <v>368</v>
      </c>
      <c r="AK42" s="16"/>
      <c r="AL42" s="16"/>
      <c r="AM42" s="20"/>
      <c r="AN42" s="16"/>
      <c r="AO42" s="16" t="s">
        <v>368</v>
      </c>
      <c r="AP42" s="20"/>
      <c r="AQ42" s="16" t="s">
        <v>368</v>
      </c>
      <c r="AR42" s="16"/>
      <c r="AS42" s="16"/>
      <c r="AT42" s="260" t="s">
        <v>370</v>
      </c>
      <c r="AU42" s="260"/>
      <c r="AV42" s="260"/>
      <c r="AW42" s="261" t="s">
        <v>370</v>
      </c>
      <c r="AX42" s="16"/>
      <c r="AY42" s="16"/>
      <c r="AZ42" s="16" t="s">
        <v>370</v>
      </c>
      <c r="BA42" s="16"/>
      <c r="BB42" s="16" t="s">
        <v>370</v>
      </c>
      <c r="BC42" s="262"/>
      <c r="BD42" s="39"/>
      <c r="BE42" s="42"/>
      <c r="BF42" s="39"/>
      <c r="BG42" s="233"/>
      <c r="BH42" s="233"/>
      <c r="BI42" s="233"/>
      <c r="BJ42" s="233"/>
    </row>
    <row r="43" spans="1:62" ht="21">
      <c r="A43" s="263">
        <f>A42+1</f>
        <v>41</v>
      </c>
      <c r="B43" s="264" t="s">
        <v>450</v>
      </c>
      <c r="C43" s="264" t="s">
        <v>635</v>
      </c>
      <c r="D43" s="264"/>
      <c r="E43" s="264"/>
      <c r="F43" s="264"/>
      <c r="G43" s="264"/>
      <c r="H43" s="106" t="s">
        <v>191</v>
      </c>
      <c r="BC43" s="210"/>
      <c r="BD43" s="210" t="s">
        <v>370</v>
      </c>
      <c r="BE43" s="210"/>
      <c r="BF43" s="167"/>
      <c r="BG43" s="233"/>
      <c r="BH43" s="233"/>
      <c r="BI43" s="233"/>
      <c r="BJ43" s="233"/>
    </row>
    <row r="44" spans="1:62" ht="21">
      <c r="A44" s="263">
        <f t="shared" ref="A44:A48" si="4">A43+1</f>
        <v>42</v>
      </c>
      <c r="B44" s="103" t="s">
        <v>636</v>
      </c>
      <c r="C44" s="103"/>
      <c r="D44" s="103"/>
      <c r="E44" s="103"/>
      <c r="F44" s="103"/>
      <c r="G44" s="103"/>
      <c r="H44" s="106" t="s">
        <v>191</v>
      </c>
      <c r="BC44" s="211"/>
      <c r="BD44" s="211" t="s">
        <v>370</v>
      </c>
      <c r="BE44" s="211"/>
      <c r="BF44" s="206"/>
      <c r="BG44" s="233"/>
      <c r="BH44" s="233"/>
      <c r="BI44" s="233"/>
      <c r="BJ44" s="233"/>
    </row>
    <row r="45" spans="1:62" ht="21">
      <c r="A45" s="263">
        <f t="shared" si="4"/>
        <v>43</v>
      </c>
      <c r="B45" s="103" t="s">
        <v>445</v>
      </c>
      <c r="C45" s="265"/>
      <c r="D45" s="265"/>
      <c r="E45" s="265"/>
      <c r="F45" s="265"/>
      <c r="G45" s="265"/>
      <c r="H45" s="106" t="s">
        <v>191</v>
      </c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  <c r="AW45" s="266"/>
      <c r="AX45" s="266"/>
      <c r="AY45" s="266"/>
      <c r="AZ45" s="266"/>
      <c r="BA45" s="266"/>
      <c r="BB45" s="266"/>
      <c r="BC45" s="266"/>
      <c r="BD45" s="266"/>
      <c r="BE45" s="266"/>
      <c r="BF45" s="39" t="s">
        <v>370</v>
      </c>
      <c r="BG45" s="267"/>
      <c r="BH45" s="267"/>
      <c r="BI45" s="267"/>
      <c r="BJ45" s="267"/>
    </row>
    <row r="46" spans="1:62" ht="21">
      <c r="A46" s="268">
        <f t="shared" si="4"/>
        <v>44</v>
      </c>
      <c r="B46" s="108" t="s">
        <v>637</v>
      </c>
      <c r="C46" s="269"/>
      <c r="D46" s="269"/>
      <c r="E46" s="269"/>
      <c r="F46" s="269"/>
      <c r="G46" s="269"/>
      <c r="H46" s="106" t="s">
        <v>191</v>
      </c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  <c r="AC46" s="270"/>
      <c r="AD46" s="270"/>
      <c r="AE46" s="270"/>
      <c r="AF46" s="270"/>
      <c r="AG46" s="270"/>
      <c r="AH46" s="270"/>
      <c r="AI46" s="270"/>
      <c r="AJ46" s="270"/>
      <c r="AK46" s="270"/>
      <c r="AL46" s="270"/>
      <c r="AM46" s="270"/>
      <c r="AN46" s="270"/>
      <c r="AO46" s="270"/>
      <c r="AP46" s="270"/>
      <c r="AQ46" s="270"/>
      <c r="AR46" s="270"/>
      <c r="AS46" s="270"/>
      <c r="AT46" s="270"/>
      <c r="AU46" s="270"/>
      <c r="AV46" s="270"/>
      <c r="AW46" s="270"/>
      <c r="AX46" s="270"/>
      <c r="AY46" s="270"/>
      <c r="AZ46" s="270"/>
      <c r="BA46" s="270"/>
      <c r="BB46" s="270"/>
      <c r="BC46" s="270"/>
      <c r="BD46" s="270"/>
      <c r="BE46" s="270"/>
      <c r="BF46" s="270"/>
      <c r="BG46" s="212" t="s">
        <v>370</v>
      </c>
      <c r="BH46" s="212"/>
      <c r="BI46" s="212"/>
      <c r="BJ46" s="212"/>
    </row>
    <row r="47" spans="1:62" ht="21" customHeight="1">
      <c r="A47" s="268">
        <f t="shared" si="4"/>
        <v>45</v>
      </c>
      <c r="B47" s="98" t="s">
        <v>638</v>
      </c>
      <c r="C47" s="104"/>
      <c r="D47" s="104"/>
      <c r="E47" s="104"/>
      <c r="F47" s="104"/>
      <c r="G47" s="104"/>
      <c r="H47" s="106" t="s">
        <v>191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70"/>
      <c r="BH47" s="170"/>
      <c r="BI47" s="170" t="s">
        <v>370</v>
      </c>
      <c r="BJ47" s="170"/>
    </row>
    <row r="48" spans="1:62" ht="21" customHeight="1">
      <c r="A48" s="268">
        <f t="shared" si="4"/>
        <v>46</v>
      </c>
      <c r="B48" s="98" t="s">
        <v>639</v>
      </c>
      <c r="C48" s="104"/>
      <c r="D48" s="104"/>
      <c r="E48" s="104"/>
      <c r="F48" s="104"/>
      <c r="G48" s="104"/>
      <c r="H48" s="106" t="s">
        <v>191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70"/>
      <c r="BH48" s="170"/>
      <c r="BI48" s="170" t="s">
        <v>370</v>
      </c>
      <c r="BJ48" s="170"/>
    </row>
    <row r="49" spans="1:62" ht="21" customHeight="1">
      <c r="B49" s="98"/>
      <c r="C49" s="104"/>
      <c r="D49" s="104"/>
      <c r="E49" s="104"/>
      <c r="F49" s="104"/>
      <c r="G49" s="104"/>
      <c r="H49" s="10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70"/>
      <c r="BH49" s="170"/>
      <c r="BI49" s="170"/>
      <c r="BJ49" s="170"/>
    </row>
    <row r="50" spans="1:62" ht="21" customHeight="1">
      <c r="B50" s="98"/>
      <c r="C50" s="104"/>
      <c r="D50" s="104"/>
      <c r="E50" s="104"/>
      <c r="F50" s="104"/>
      <c r="G50" s="104"/>
      <c r="H50" s="10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70"/>
      <c r="BH50" s="170"/>
      <c r="BI50" s="170"/>
      <c r="BJ50" s="170"/>
    </row>
    <row r="51" spans="1:62" ht="21" customHeight="1">
      <c r="B51" s="98"/>
      <c r="C51" s="104"/>
      <c r="D51" s="104"/>
      <c r="E51" s="104"/>
      <c r="F51" s="104"/>
      <c r="G51" s="104"/>
      <c r="H51" s="10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70"/>
      <c r="BH51" s="170"/>
      <c r="BI51" s="170"/>
      <c r="BJ51" s="170"/>
    </row>
    <row r="52" spans="1:62" ht="21" customHeight="1">
      <c r="B52" s="98"/>
      <c r="C52" s="104"/>
      <c r="D52" s="104"/>
      <c r="E52" s="104"/>
      <c r="F52" s="104"/>
      <c r="G52" s="104"/>
      <c r="H52" s="10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70"/>
      <c r="BH52" s="170"/>
      <c r="BI52" s="170"/>
      <c r="BJ52" s="170"/>
    </row>
    <row r="53" spans="1:62" ht="21" customHeight="1">
      <c r="B53" s="98"/>
      <c r="C53" s="104"/>
      <c r="D53" s="104"/>
      <c r="E53" s="104"/>
      <c r="F53" s="104"/>
      <c r="G53" s="104"/>
      <c r="H53" s="10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70"/>
      <c r="BH53" s="170"/>
      <c r="BI53" s="170"/>
      <c r="BJ53" s="170"/>
    </row>
    <row r="54" spans="1:62" ht="21" customHeight="1">
      <c r="B54" s="98"/>
      <c r="C54" s="104"/>
      <c r="D54" s="104"/>
      <c r="E54" s="104"/>
      <c r="F54" s="104"/>
      <c r="G54" s="104"/>
      <c r="H54" s="10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70"/>
      <c r="BH54" s="170"/>
      <c r="BI54" s="170"/>
      <c r="BJ54" s="170"/>
    </row>
    <row r="55" spans="1:62" ht="21" customHeight="1">
      <c r="A55"/>
      <c r="B55"/>
      <c r="C55"/>
      <c r="D55"/>
      <c r="E55"/>
      <c r="F55"/>
      <c r="G55"/>
      <c r="H55"/>
    </row>
    <row r="56" spans="1:62" ht="21" customHeight="1">
      <c r="A56"/>
      <c r="B56"/>
      <c r="C56"/>
      <c r="D56"/>
      <c r="E56"/>
      <c r="F56"/>
      <c r="G56"/>
      <c r="H56"/>
    </row>
    <row r="57" spans="1:62" ht="21" customHeight="1">
      <c r="A57"/>
      <c r="B57"/>
      <c r="C57"/>
      <c r="D57"/>
      <c r="E57"/>
      <c r="F57"/>
      <c r="G57"/>
      <c r="H57"/>
    </row>
    <row r="58" spans="1:62" ht="21" customHeight="1">
      <c r="A58"/>
      <c r="B58"/>
      <c r="C58"/>
      <c r="D58"/>
      <c r="E58"/>
      <c r="F58"/>
      <c r="G58"/>
      <c r="H58"/>
    </row>
    <row r="59" spans="1:62" ht="21" customHeight="1">
      <c r="A59"/>
      <c r="B59"/>
      <c r="C59"/>
      <c r="D59"/>
      <c r="E59"/>
      <c r="F59"/>
      <c r="G59"/>
      <c r="H59"/>
    </row>
    <row r="60" spans="1:62" ht="21" customHeight="1">
      <c r="A60"/>
      <c r="B60"/>
      <c r="C60"/>
      <c r="D60"/>
      <c r="E60"/>
      <c r="F60"/>
      <c r="G60"/>
      <c r="H60"/>
    </row>
    <row r="61" spans="1:62" ht="21" customHeight="1">
      <c r="A61"/>
      <c r="B61"/>
      <c r="C61"/>
      <c r="D61"/>
      <c r="E61"/>
      <c r="F61"/>
      <c r="G61"/>
      <c r="H61"/>
    </row>
    <row r="62" spans="1:62" ht="21" customHeight="1">
      <c r="A62"/>
      <c r="B62"/>
      <c r="C62"/>
      <c r="D62"/>
      <c r="E62"/>
      <c r="F62"/>
      <c r="G62"/>
      <c r="H62"/>
    </row>
    <row r="63" spans="1:62" ht="21" customHeight="1">
      <c r="A63"/>
      <c r="B63"/>
      <c r="C63"/>
      <c r="D63"/>
      <c r="E63"/>
      <c r="F63"/>
      <c r="G63"/>
      <c r="H63"/>
    </row>
    <row r="64" spans="1:62" ht="21" customHeight="1">
      <c r="A64"/>
      <c r="B64"/>
      <c r="C64"/>
      <c r="D64"/>
      <c r="E64"/>
      <c r="F64"/>
      <c r="G64"/>
      <c r="H64"/>
    </row>
    <row r="65" spans="59:62" customFormat="1" ht="21" customHeight="1">
      <c r="BG65" s="2"/>
      <c r="BH65" s="2"/>
      <c r="BI65" s="2"/>
      <c r="BJ65" s="2"/>
    </row>
    <row r="66" spans="59:62" customFormat="1" ht="21" customHeight="1">
      <c r="BG66" s="2"/>
      <c r="BH66" s="2"/>
      <c r="BI66" s="2"/>
      <c r="BJ66" s="2"/>
    </row>
    <row r="67" spans="59:62" customFormat="1" ht="21" customHeight="1">
      <c r="BG67" s="2"/>
      <c r="BH67" s="2"/>
      <c r="BI67" s="2"/>
      <c r="BJ67" s="2"/>
    </row>
    <row r="68" spans="59:62" customFormat="1">
      <c r="BG68" s="2"/>
      <c r="BH68" s="2"/>
      <c r="BI68" s="2"/>
      <c r="BJ68" s="2"/>
    </row>
    <row r="69" spans="59:62" customFormat="1">
      <c r="BG69" s="2"/>
      <c r="BH69" s="2"/>
      <c r="BI69" s="2"/>
      <c r="BJ69" s="2"/>
    </row>
    <row r="70" spans="59:62" customFormat="1">
      <c r="BG70" s="2"/>
      <c r="BH70" s="2"/>
      <c r="BI70" s="2"/>
      <c r="BJ70" s="2"/>
    </row>
    <row r="71" spans="59:62" customFormat="1">
      <c r="BG71" s="2"/>
      <c r="BH71" s="2"/>
      <c r="BI71" s="2"/>
      <c r="BJ71" s="2"/>
    </row>
    <row r="72" spans="59:62" customFormat="1">
      <c r="BG72" s="2"/>
      <c r="BH72" s="2"/>
      <c r="BI72" s="2"/>
      <c r="BJ72" s="2"/>
    </row>
    <row r="73" spans="59:62" customFormat="1">
      <c r="BG73" s="2"/>
      <c r="BH73" s="2"/>
      <c r="BI73" s="2"/>
      <c r="BJ73" s="2"/>
    </row>
    <row r="74" spans="59:62" customFormat="1">
      <c r="BG74" s="2"/>
      <c r="BH74" s="2"/>
      <c r="BI74" s="2"/>
      <c r="BJ74" s="2"/>
    </row>
    <row r="75" spans="59:62" customFormat="1">
      <c r="BG75" s="2"/>
      <c r="BH75" s="2"/>
      <c r="BI75" s="2"/>
      <c r="BJ75" s="2"/>
    </row>
    <row r="76" spans="59:62" customFormat="1">
      <c r="BG76" s="2"/>
      <c r="BH76" s="2"/>
      <c r="BI76" s="2"/>
      <c r="BJ76" s="2"/>
    </row>
    <row r="77" spans="59:62" customFormat="1">
      <c r="BG77" s="2"/>
      <c r="BH77" s="2"/>
      <c r="BI77" s="2"/>
      <c r="BJ77" s="2"/>
    </row>
    <row r="78" spans="59:62" customFormat="1">
      <c r="BG78" s="2"/>
      <c r="BH78" s="2"/>
      <c r="BI78" s="2"/>
      <c r="BJ78" s="2"/>
    </row>
    <row r="79" spans="59:62" customFormat="1">
      <c r="BG79" s="2"/>
      <c r="BH79" s="2"/>
      <c r="BI79" s="2"/>
      <c r="BJ79" s="2"/>
    </row>
    <row r="80" spans="59:62" customFormat="1">
      <c r="BG80" s="2"/>
      <c r="BH80" s="2"/>
      <c r="BI80" s="2"/>
      <c r="BJ80" s="2"/>
    </row>
    <row r="81" spans="59:62" customFormat="1">
      <c r="BG81" s="2"/>
      <c r="BH81" s="2"/>
      <c r="BI81" s="2"/>
      <c r="BJ81" s="2"/>
    </row>
    <row r="82" spans="59:62" customFormat="1">
      <c r="BG82" s="2"/>
      <c r="BH82" s="2"/>
      <c r="BI82" s="2"/>
      <c r="BJ82" s="2"/>
    </row>
    <row r="83" spans="59:62" customFormat="1">
      <c r="BG83" s="2"/>
      <c r="BH83" s="2"/>
      <c r="BI83" s="2"/>
      <c r="BJ83" s="2"/>
    </row>
    <row r="84" spans="59:62" customFormat="1">
      <c r="BG84" s="2"/>
      <c r="BH84" s="2"/>
      <c r="BI84" s="2"/>
      <c r="BJ84" s="2"/>
    </row>
    <row r="85" spans="59:62" customFormat="1">
      <c r="BG85" s="2"/>
      <c r="BH85" s="2"/>
      <c r="BI85" s="2"/>
      <c r="BJ85" s="2"/>
    </row>
    <row r="86" spans="59:62" customFormat="1">
      <c r="BG86" s="2"/>
      <c r="BH86" s="2"/>
      <c r="BI86" s="2"/>
      <c r="BJ86" s="2"/>
    </row>
    <row r="87" spans="59:62" customFormat="1">
      <c r="BG87" s="2"/>
      <c r="BH87" s="2"/>
      <c r="BI87" s="2"/>
      <c r="BJ87" s="2"/>
    </row>
    <row r="88" spans="59:62" customFormat="1">
      <c r="BG88" s="2"/>
      <c r="BH88" s="2"/>
      <c r="BI88" s="2"/>
      <c r="BJ88" s="2"/>
    </row>
    <row r="89" spans="59:62" customFormat="1">
      <c r="BG89" s="2"/>
      <c r="BH89" s="2"/>
      <c r="BI89" s="2"/>
      <c r="BJ89" s="2"/>
    </row>
    <row r="90" spans="59:62" customFormat="1">
      <c r="BG90" s="2"/>
      <c r="BH90" s="2"/>
      <c r="BI90" s="2"/>
      <c r="BJ90" s="2"/>
    </row>
    <row r="91" spans="59:62" customFormat="1">
      <c r="BG91" s="2"/>
      <c r="BH91" s="2"/>
      <c r="BI91" s="2"/>
      <c r="BJ91" s="2"/>
    </row>
    <row r="92" spans="59:62" customFormat="1">
      <c r="BG92" s="2"/>
      <c r="BH92" s="2"/>
      <c r="BI92" s="2"/>
      <c r="BJ92" s="2"/>
    </row>
    <row r="93" spans="59:62" customFormat="1">
      <c r="BG93" s="2"/>
      <c r="BH93" s="2"/>
      <c r="BI93" s="2"/>
      <c r="BJ93" s="2"/>
    </row>
    <row r="94" spans="59:62" customFormat="1">
      <c r="BG94" s="2"/>
      <c r="BH94" s="2"/>
      <c r="BI94" s="2"/>
      <c r="BJ94" s="2"/>
    </row>
    <row r="95" spans="59:62" customFormat="1">
      <c r="BG95" s="2"/>
      <c r="BH95" s="2"/>
      <c r="BI95" s="2"/>
      <c r="BJ95" s="2"/>
    </row>
    <row r="96" spans="59:62" customFormat="1">
      <c r="BG96" s="2"/>
      <c r="BH96" s="2"/>
      <c r="BI96" s="2"/>
      <c r="BJ96" s="2"/>
    </row>
    <row r="97" spans="59:62" customFormat="1">
      <c r="BG97" s="2"/>
      <c r="BH97" s="2"/>
      <c r="BI97" s="2"/>
      <c r="BJ97" s="2"/>
    </row>
    <row r="98" spans="59:62" customFormat="1">
      <c r="BG98" s="2"/>
      <c r="BH98" s="2"/>
      <c r="BI98" s="2"/>
      <c r="BJ98" s="2"/>
    </row>
    <row r="99" spans="59:62" customFormat="1">
      <c r="BG99" s="2"/>
      <c r="BH99" s="2"/>
      <c r="BI99" s="2"/>
      <c r="BJ99" s="2"/>
    </row>
    <row r="100" spans="59:62" customFormat="1">
      <c r="BG100" s="2"/>
      <c r="BH100" s="2"/>
      <c r="BI100" s="2"/>
      <c r="BJ100" s="2"/>
    </row>
    <row r="101" spans="59:62" customFormat="1">
      <c r="BG101" s="2"/>
      <c r="BH101" s="2"/>
      <c r="BI101" s="2"/>
      <c r="BJ101" s="2"/>
    </row>
    <row r="102" spans="59:62" customFormat="1">
      <c r="BG102" s="2"/>
      <c r="BH102" s="2"/>
      <c r="BI102" s="2"/>
      <c r="BJ102" s="2"/>
    </row>
    <row r="103" spans="59:62" customFormat="1">
      <c r="BG103" s="2"/>
      <c r="BH103" s="2"/>
      <c r="BI103" s="2"/>
      <c r="BJ103" s="2"/>
    </row>
    <row r="104" spans="59:62" customFormat="1">
      <c r="BG104" s="2"/>
      <c r="BH104" s="2"/>
      <c r="BI104" s="2"/>
      <c r="BJ104" s="2"/>
    </row>
    <row r="105" spans="59:62" customFormat="1">
      <c r="BG105" s="2"/>
      <c r="BH105" s="2"/>
      <c r="BI105" s="2"/>
      <c r="BJ105" s="2"/>
    </row>
    <row r="106" spans="59:62" customFormat="1">
      <c r="BG106" s="2"/>
      <c r="BH106" s="2"/>
      <c r="BI106" s="2"/>
      <c r="BJ106" s="2"/>
    </row>
    <row r="107" spans="59:62" customFormat="1">
      <c r="BG107" s="2"/>
      <c r="BH107" s="2"/>
      <c r="BI107" s="2"/>
      <c r="BJ107" s="2"/>
    </row>
    <row r="108" spans="59:62" customFormat="1">
      <c r="BG108" s="2"/>
      <c r="BH108" s="2"/>
      <c r="BI108" s="2"/>
      <c r="BJ108" s="2"/>
    </row>
    <row r="109" spans="59:62" customFormat="1">
      <c r="BG109" s="2"/>
      <c r="BH109" s="2"/>
      <c r="BI109" s="2"/>
      <c r="BJ109" s="2"/>
    </row>
    <row r="110" spans="59:62" customFormat="1">
      <c r="BG110" s="2"/>
      <c r="BH110" s="2"/>
      <c r="BI110" s="2"/>
      <c r="BJ110" s="2"/>
    </row>
    <row r="111" spans="59:62" customFormat="1">
      <c r="BG111" s="2"/>
      <c r="BH111" s="2"/>
      <c r="BI111" s="2"/>
      <c r="BJ111" s="2"/>
    </row>
    <row r="112" spans="59:62" customFormat="1">
      <c r="BG112" s="2"/>
      <c r="BH112" s="2"/>
      <c r="BI112" s="2"/>
      <c r="BJ112" s="2"/>
    </row>
    <row r="113" spans="59:62" customFormat="1">
      <c r="BG113" s="2"/>
      <c r="BH113" s="2"/>
      <c r="BI113" s="2"/>
      <c r="BJ113" s="2"/>
    </row>
    <row r="114" spans="59:62" customFormat="1">
      <c r="BG114" s="2"/>
      <c r="BH114" s="2"/>
      <c r="BI114" s="2"/>
      <c r="BJ114" s="2"/>
    </row>
    <row r="115" spans="59:62" customFormat="1">
      <c r="BG115" s="2"/>
      <c r="BH115" s="2"/>
      <c r="BI115" s="2"/>
      <c r="BJ115" s="2"/>
    </row>
    <row r="116" spans="59:62" customFormat="1">
      <c r="BG116" s="2"/>
      <c r="BH116" s="2"/>
      <c r="BI116" s="2"/>
      <c r="BJ116" s="2"/>
    </row>
    <row r="117" spans="59:62" customFormat="1">
      <c r="BG117" s="2"/>
      <c r="BH117" s="2"/>
      <c r="BI117" s="2"/>
      <c r="BJ117" s="2"/>
    </row>
    <row r="118" spans="59:62" customFormat="1">
      <c r="BG118" s="2"/>
      <c r="BH118" s="2"/>
      <c r="BI118" s="2"/>
      <c r="BJ118" s="2"/>
    </row>
    <row r="119" spans="59:62" customFormat="1">
      <c r="BG119" s="2"/>
      <c r="BH119" s="2"/>
      <c r="BI119" s="2"/>
      <c r="BJ119" s="2"/>
    </row>
    <row r="120" spans="59:62" customFormat="1">
      <c r="BG120" s="2"/>
      <c r="BH120" s="2"/>
      <c r="BI120" s="2"/>
      <c r="BJ120" s="2"/>
    </row>
    <row r="121" spans="59:62" customFormat="1">
      <c r="BG121" s="2"/>
      <c r="BH121" s="2"/>
      <c r="BI121" s="2"/>
      <c r="BJ121" s="2"/>
    </row>
    <row r="122" spans="59:62" customFormat="1">
      <c r="BG122" s="2"/>
      <c r="BH122" s="2"/>
      <c r="BI122" s="2"/>
      <c r="BJ122" s="2"/>
    </row>
    <row r="123" spans="59:62" customFormat="1">
      <c r="BG123" s="2"/>
      <c r="BH123" s="2"/>
      <c r="BI123" s="2"/>
      <c r="BJ123" s="2"/>
    </row>
    <row r="124" spans="59:62" customFormat="1">
      <c r="BG124" s="2"/>
      <c r="BH124" s="2"/>
      <c r="BI124" s="2"/>
      <c r="BJ124" s="2"/>
    </row>
    <row r="125" spans="59:62" customFormat="1">
      <c r="BG125" s="2"/>
      <c r="BH125" s="2"/>
      <c r="BI125" s="2"/>
      <c r="BJ125" s="2"/>
    </row>
    <row r="126" spans="59:62" customFormat="1">
      <c r="BG126" s="2"/>
      <c r="BH126" s="2"/>
      <c r="BI126" s="2"/>
      <c r="BJ126" s="2"/>
    </row>
    <row r="127" spans="59:62" customFormat="1">
      <c r="BG127" s="2"/>
      <c r="BH127" s="2"/>
      <c r="BI127" s="2"/>
      <c r="BJ127" s="2"/>
    </row>
    <row r="128" spans="59:62" customFormat="1">
      <c r="BG128" s="2"/>
      <c r="BH128" s="2"/>
      <c r="BI128" s="2"/>
      <c r="BJ128" s="2"/>
    </row>
    <row r="129" spans="1:8">
      <c r="A129"/>
      <c r="B129"/>
      <c r="C129"/>
      <c r="D129"/>
      <c r="E129"/>
      <c r="F129"/>
      <c r="G129"/>
      <c r="H129"/>
    </row>
    <row r="130" spans="1:8">
      <c r="A130"/>
      <c r="B130"/>
      <c r="C130"/>
      <c r="D130"/>
      <c r="E130"/>
      <c r="F130"/>
      <c r="G130"/>
      <c r="H130"/>
    </row>
    <row r="131" spans="1:8">
      <c r="A131"/>
      <c r="B131"/>
      <c r="C131"/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/>
      <c r="B134"/>
      <c r="C134"/>
      <c r="D134"/>
      <c r="E134"/>
      <c r="F134"/>
      <c r="G134"/>
      <c r="H134"/>
    </row>
    <row r="135" spans="1:8">
      <c r="A135"/>
      <c r="B135"/>
      <c r="C135"/>
      <c r="D135"/>
      <c r="E135"/>
      <c r="F135"/>
      <c r="G13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>
      <c r="A138"/>
      <c r="B138"/>
      <c r="C138"/>
      <c r="D138"/>
      <c r="E138"/>
      <c r="F138"/>
      <c r="G138"/>
      <c r="H138"/>
    </row>
    <row r="139" spans="1:8">
      <c r="A139" s="46"/>
      <c r="B139" s="46"/>
      <c r="C139" s="46"/>
      <c r="D139" s="46"/>
      <c r="E139" s="46"/>
      <c r="F139" s="46"/>
      <c r="G139" s="46"/>
      <c r="H139" s="46"/>
    </row>
  </sheetData>
  <sortState xmlns:xlrd2="http://schemas.microsoft.com/office/spreadsheetml/2017/richdata2" ref="B3:H5">
    <sortCondition ref="B3:B5"/>
  </sortState>
  <mergeCells count="1">
    <mergeCell ref="A1:W1"/>
  </mergeCells>
  <dataValidations count="1">
    <dataValidation allowBlank="1" showInputMessage="1" showErrorMessage="1" sqref="B19:E19 G19:H19 B10:B18 B20:B1048576 H10:H18 H20:H28 B2:H8" xr:uid="{00000000-0002-0000-0300-000000000000}"/>
  </dataValidations>
  <hyperlinks>
    <hyperlink ref="F3" r:id="rId1" xr:uid="{00000000-0004-0000-0300-000000000000}"/>
    <hyperlink ref="F9" r:id="rId2" xr:uid="{00000000-0004-0000-0300-000001000000}"/>
    <hyperlink ref="F6" r:id="rId3" xr:uid="{00000000-0004-0000-0300-000002000000}"/>
    <hyperlink ref="F20" r:id="rId4" xr:uid="{00000000-0004-0000-0300-000003000000}"/>
    <hyperlink ref="F22" r:id="rId5" xr:uid="{00000000-0004-0000-0300-000004000000}"/>
    <hyperlink ref="F26" r:id="rId6" xr:uid="{00000000-0004-0000-0300-000005000000}"/>
    <hyperlink ref="F27" r:id="rId7" xr:uid="{00000000-0004-0000-0300-000006000000}"/>
    <hyperlink ref="F28" r:id="rId8" xr:uid="{00000000-0004-0000-0300-000007000000}"/>
    <hyperlink ref="F33" r:id="rId9" xr:uid="{00000000-0004-0000-0300-000008000000}"/>
    <hyperlink ref="F34" r:id="rId10" xr:uid="{00000000-0004-0000-0300-000009000000}"/>
    <hyperlink ref="F8" r:id="rId11" xr:uid="{00000000-0004-0000-0300-00000A000000}"/>
  </hyperlinks>
  <pageMargins left="0.25" right="0.25" top="0.75" bottom="0.75" header="0.3" footer="0.3"/>
  <pageSetup paperSize="9" scale="67" fitToHeight="0" orientation="landscape"/>
  <tableParts count="1"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R142"/>
  <sheetViews>
    <sheetView topLeftCell="AI1" zoomScale="85" zoomScaleNormal="85" workbookViewId="0">
      <selection activeCell="AX1" sqref="AX1:BJ1048576"/>
    </sheetView>
  </sheetViews>
  <sheetFormatPr defaultColWidth="9" defaultRowHeight="21" outlineLevelCol="1"/>
  <cols>
    <col min="1" max="1" width="5.5" style="1" customWidth="1"/>
    <col min="2" max="4" width="30.625" style="1" customWidth="1" outlineLevel="1"/>
    <col min="5" max="5" width="40.875" style="1" customWidth="1" outlineLevel="1"/>
    <col min="6" max="6" width="39.125" style="1" customWidth="1" outlineLevel="1"/>
    <col min="7" max="7" width="26.625" style="1" customWidth="1" outlineLevel="1"/>
    <col min="8" max="8" width="19.375" style="1" customWidth="1" outlineLevel="1"/>
    <col min="9" max="9" width="9.125" customWidth="1"/>
    <col min="10" max="10" width="9.5" customWidth="1"/>
    <col min="11" max="12" width="9.125" customWidth="1"/>
    <col min="13" max="13" width="12.5" customWidth="1"/>
    <col min="14" max="15" width="9.375" customWidth="1"/>
    <col min="16" max="17" width="10.375" customWidth="1"/>
    <col min="18" max="20" width="9.375" customWidth="1"/>
    <col min="21" max="26" width="8.875" customWidth="1"/>
    <col min="27" max="28" width="9.5" customWidth="1"/>
    <col min="29" max="31" width="8.875" customWidth="1"/>
    <col min="32" max="33" width="10.75" customWidth="1"/>
    <col min="34" max="36" width="9.75" customWidth="1"/>
    <col min="37" max="37" width="8.875" customWidth="1"/>
    <col min="38" max="38" width="0.125" customWidth="1"/>
    <col min="39" max="40" width="10.5" customWidth="1"/>
    <col min="41" max="41" width="0.375" customWidth="1"/>
    <col min="42" max="42" width="8.875" customWidth="1"/>
    <col min="43" max="45" width="10.5" customWidth="1"/>
    <col min="46" max="46" width="8.875" customWidth="1"/>
    <col min="47" max="49" width="10.125" customWidth="1"/>
    <col min="50" max="50" width="8.875" customWidth="1"/>
    <col min="51" max="54" width="10.125" customWidth="1"/>
    <col min="55" max="55" width="9.5" style="4" customWidth="1"/>
    <col min="56" max="58" width="9.375" style="4" customWidth="1"/>
  </cols>
  <sheetData>
    <row r="1" spans="1:70" ht="25.15" customHeight="1">
      <c r="A1" s="652" t="s">
        <v>640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3"/>
      <c r="AY1" s="3"/>
      <c r="AZ1" s="3"/>
      <c r="BA1" s="3"/>
    </row>
    <row r="2" spans="1:70" ht="25.15" customHeight="1">
      <c r="A2" s="15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3"/>
      <c r="AY2" s="3"/>
      <c r="AZ2" s="3"/>
      <c r="BA2" s="3"/>
    </row>
    <row r="3" spans="1:70" ht="25.15" customHeight="1">
      <c r="A3" s="153" t="s">
        <v>356</v>
      </c>
      <c r="B3" s="90" t="s">
        <v>357</v>
      </c>
      <c r="C3" s="90" t="s">
        <v>358</v>
      </c>
      <c r="D3" s="90" t="s">
        <v>359</v>
      </c>
      <c r="E3" s="90" t="s">
        <v>360</v>
      </c>
      <c r="F3" s="90" t="s">
        <v>361</v>
      </c>
      <c r="G3" s="90" t="s">
        <v>362</v>
      </c>
      <c r="H3" s="91" t="s">
        <v>363</v>
      </c>
      <c r="I3" s="154" t="s">
        <v>556</v>
      </c>
      <c r="J3" s="154" t="s">
        <v>557</v>
      </c>
      <c r="K3" s="154" t="s">
        <v>558</v>
      </c>
      <c r="L3" s="154" t="s">
        <v>559</v>
      </c>
      <c r="M3" s="154" t="s">
        <v>560</v>
      </c>
      <c r="N3" s="154" t="s">
        <v>561</v>
      </c>
      <c r="O3" s="154" t="s">
        <v>562</v>
      </c>
      <c r="P3" s="155" t="s">
        <v>563</v>
      </c>
      <c r="Q3" s="155" t="s">
        <v>564</v>
      </c>
      <c r="R3" s="156" t="s">
        <v>565</v>
      </c>
      <c r="S3" s="155" t="s">
        <v>566</v>
      </c>
      <c r="T3" s="156" t="s">
        <v>567</v>
      </c>
      <c r="U3" s="156" t="s">
        <v>568</v>
      </c>
      <c r="V3" s="155" t="s">
        <v>569</v>
      </c>
      <c r="W3" s="155" t="s">
        <v>570</v>
      </c>
      <c r="X3" s="155" t="s">
        <v>571</v>
      </c>
      <c r="Y3" s="155" t="s">
        <v>572</v>
      </c>
      <c r="Z3" s="155" t="s">
        <v>573</v>
      </c>
      <c r="AA3" s="155" t="s">
        <v>574</v>
      </c>
      <c r="AB3" s="155" t="s">
        <v>575</v>
      </c>
      <c r="AC3" s="52">
        <v>45991</v>
      </c>
      <c r="AD3" s="50">
        <v>45998</v>
      </c>
      <c r="AE3" s="157" t="s">
        <v>641</v>
      </c>
      <c r="AF3" s="50">
        <v>46012</v>
      </c>
      <c r="AG3" s="50">
        <v>46019</v>
      </c>
      <c r="AH3" s="50">
        <v>46033</v>
      </c>
      <c r="AI3" s="50">
        <v>46040</v>
      </c>
      <c r="AJ3" s="50">
        <v>46047</v>
      </c>
      <c r="AK3" s="50">
        <v>46054</v>
      </c>
      <c r="AL3" s="50">
        <v>46061</v>
      </c>
      <c r="AM3" s="50">
        <v>46068</v>
      </c>
      <c r="AN3" s="50">
        <v>46075</v>
      </c>
      <c r="AO3" s="50">
        <v>46082</v>
      </c>
      <c r="AP3" s="52">
        <v>46089</v>
      </c>
      <c r="AQ3" s="50">
        <v>46096</v>
      </c>
      <c r="AR3" s="50">
        <v>46103</v>
      </c>
      <c r="AS3" s="50">
        <v>46110</v>
      </c>
      <c r="AT3" s="11">
        <f>AS3+7</f>
        <v>46117</v>
      </c>
      <c r="AU3" s="11">
        <f t="shared" ref="AU3:AW3" si="0">AT3+7</f>
        <v>46124</v>
      </c>
      <c r="AV3" s="11">
        <f t="shared" si="0"/>
        <v>46131</v>
      </c>
      <c r="AW3" s="51">
        <f t="shared" si="0"/>
        <v>46138</v>
      </c>
      <c r="AX3" s="8">
        <v>46145</v>
      </c>
      <c r="AY3" s="8">
        <v>46152</v>
      </c>
      <c r="AZ3" s="8">
        <v>46159</v>
      </c>
      <c r="BA3" s="8">
        <v>46166</v>
      </c>
      <c r="BB3" s="8">
        <v>46173</v>
      </c>
      <c r="BC3" s="8">
        <v>46180</v>
      </c>
      <c r="BD3" s="8">
        <v>46187</v>
      </c>
      <c r="BE3" s="9">
        <f>BD3+7</f>
        <v>46194</v>
      </c>
      <c r="BF3" s="10">
        <f>BE3+7</f>
        <v>46201</v>
      </c>
      <c r="BG3" s="9">
        <f>BF3+7</f>
        <v>46208</v>
      </c>
      <c r="BH3" s="9">
        <f t="shared" ref="BH3:BJ3" si="1">BG3+7</f>
        <v>46215</v>
      </c>
      <c r="BI3" s="9">
        <f t="shared" si="1"/>
        <v>46222</v>
      </c>
      <c r="BJ3" s="9">
        <f t="shared" si="1"/>
        <v>46229</v>
      </c>
    </row>
    <row r="4" spans="1:70" ht="25.15" customHeight="1">
      <c r="A4" s="158">
        <v>1</v>
      </c>
      <c r="B4" s="116" t="s">
        <v>642</v>
      </c>
      <c r="C4" s="116" t="s">
        <v>471</v>
      </c>
      <c r="D4" s="116" t="s">
        <v>373</v>
      </c>
      <c r="E4" s="116" t="s">
        <v>114</v>
      </c>
      <c r="F4" s="159" t="s">
        <v>198</v>
      </c>
      <c r="G4" s="121" t="s">
        <v>254</v>
      </c>
      <c r="H4" s="120" t="s">
        <v>255</v>
      </c>
      <c r="I4" s="160" t="s">
        <v>368</v>
      </c>
      <c r="J4" s="160" t="s">
        <v>368</v>
      </c>
      <c r="K4" s="160"/>
      <c r="L4" s="160"/>
      <c r="M4" s="160"/>
      <c r="N4" s="161" t="s">
        <v>368</v>
      </c>
      <c r="O4" s="161"/>
      <c r="P4" s="162"/>
      <c r="Q4" s="162" t="s">
        <v>368</v>
      </c>
      <c r="R4" s="163"/>
      <c r="S4" s="162" t="s">
        <v>368</v>
      </c>
      <c r="T4" s="163" t="s">
        <v>368</v>
      </c>
      <c r="U4" s="163" t="s">
        <v>368</v>
      </c>
      <c r="V4" s="163"/>
      <c r="W4" s="163" t="s">
        <v>368</v>
      </c>
      <c r="X4" s="163"/>
      <c r="Y4" s="163"/>
      <c r="Z4" s="163" t="s">
        <v>368</v>
      </c>
      <c r="AA4" s="163"/>
      <c r="AB4" s="164" t="s">
        <v>368</v>
      </c>
      <c r="AC4" s="58"/>
      <c r="AD4" s="165" t="s">
        <v>368</v>
      </c>
      <c r="AE4" s="56" t="s">
        <v>368</v>
      </c>
      <c r="AF4" s="56" t="s">
        <v>368</v>
      </c>
      <c r="AG4" s="56"/>
      <c r="AH4" s="56"/>
      <c r="AI4" s="56" t="s">
        <v>368</v>
      </c>
      <c r="AJ4" s="166" t="s">
        <v>368</v>
      </c>
      <c r="AK4" s="56"/>
      <c r="AL4" s="56"/>
      <c r="AM4" s="56"/>
      <c r="AN4" s="56"/>
      <c r="AO4" s="56"/>
      <c r="AP4" s="58"/>
      <c r="AQ4" s="56"/>
      <c r="AR4" s="56"/>
      <c r="AS4" s="56"/>
      <c r="AT4" s="13" t="s">
        <v>643</v>
      </c>
      <c r="AU4" s="13"/>
      <c r="AV4" s="13"/>
      <c r="AW4" s="57"/>
      <c r="AX4" s="16"/>
      <c r="AY4" s="16"/>
      <c r="AZ4" s="16"/>
      <c r="BA4" s="16"/>
      <c r="BB4" s="16" t="s">
        <v>370</v>
      </c>
      <c r="BC4" s="167" t="s">
        <v>370</v>
      </c>
      <c r="BD4" s="167" t="s">
        <v>370</v>
      </c>
      <c r="BE4" s="168"/>
      <c r="BF4" s="169"/>
      <c r="BG4" s="170"/>
      <c r="BH4" s="170"/>
      <c r="BI4" s="170"/>
      <c r="BJ4" s="170"/>
    </row>
    <row r="5" spans="1:70" ht="25.15" customHeight="1">
      <c r="A5" s="158">
        <f t="shared" ref="A5:A14" si="2">A4+1</f>
        <v>2</v>
      </c>
      <c r="B5" s="116" t="s">
        <v>644</v>
      </c>
      <c r="C5" s="116" t="s">
        <v>645</v>
      </c>
      <c r="D5" s="116" t="s">
        <v>367</v>
      </c>
      <c r="E5" s="117" t="s">
        <v>256</v>
      </c>
      <c r="F5" s="118" t="s">
        <v>257</v>
      </c>
      <c r="G5" s="548" t="s">
        <v>258</v>
      </c>
      <c r="H5" s="120" t="s">
        <v>255</v>
      </c>
      <c r="I5" s="160" t="s">
        <v>368</v>
      </c>
      <c r="J5" s="160"/>
      <c r="K5" s="160"/>
      <c r="L5" s="160"/>
      <c r="M5" s="160"/>
      <c r="N5" s="171" t="s">
        <v>368</v>
      </c>
      <c r="O5" s="171"/>
      <c r="P5" s="172"/>
      <c r="Q5" s="172" t="s">
        <v>368</v>
      </c>
      <c r="R5" s="163"/>
      <c r="S5" s="172"/>
      <c r="T5" s="163" t="s">
        <v>368</v>
      </c>
      <c r="U5" s="163"/>
      <c r="V5" s="163"/>
      <c r="W5" s="163" t="s">
        <v>368</v>
      </c>
      <c r="X5" s="163"/>
      <c r="Y5" s="163" t="s">
        <v>368</v>
      </c>
      <c r="Z5" s="163" t="s">
        <v>368</v>
      </c>
      <c r="AA5" s="163" t="s">
        <v>368</v>
      </c>
      <c r="AB5" s="164" t="s">
        <v>368</v>
      </c>
      <c r="AC5" s="58"/>
      <c r="AD5" s="84"/>
      <c r="AE5" s="56" t="s">
        <v>368</v>
      </c>
      <c r="AF5" s="56" t="s">
        <v>368</v>
      </c>
      <c r="AG5" s="56"/>
      <c r="AH5" s="56"/>
      <c r="AI5" s="56"/>
      <c r="AJ5" s="56"/>
      <c r="AK5" s="56"/>
      <c r="AL5" s="56"/>
      <c r="AM5" s="56"/>
      <c r="AN5" s="56"/>
      <c r="AO5" s="56"/>
      <c r="AP5" s="58"/>
      <c r="AQ5" s="56"/>
      <c r="AR5" s="56"/>
      <c r="AS5" s="56"/>
      <c r="AT5" s="13"/>
      <c r="AU5" s="13"/>
      <c r="AV5" s="13"/>
      <c r="AW5" s="57"/>
      <c r="AX5" s="16"/>
      <c r="AY5" s="16"/>
      <c r="AZ5" s="16"/>
      <c r="BA5" s="16"/>
      <c r="BB5" s="173"/>
      <c r="BC5" s="167"/>
      <c r="BD5" s="167"/>
      <c r="BE5" s="168"/>
      <c r="BF5" s="169"/>
      <c r="BG5" s="170"/>
      <c r="BH5" s="170"/>
      <c r="BI5" s="170"/>
      <c r="BJ5" s="170"/>
    </row>
    <row r="6" spans="1:70" ht="25.15" customHeight="1">
      <c r="A6" s="158">
        <f t="shared" si="2"/>
        <v>3</v>
      </c>
      <c r="B6" s="116" t="s">
        <v>646</v>
      </c>
      <c r="C6" s="116" t="s">
        <v>647</v>
      </c>
      <c r="D6" s="116" t="s">
        <v>378</v>
      </c>
      <c r="E6" s="116" t="s">
        <v>259</v>
      </c>
      <c r="F6" s="174" t="s">
        <v>260</v>
      </c>
      <c r="G6" s="121" t="s">
        <v>261</v>
      </c>
      <c r="H6" s="120" t="s">
        <v>255</v>
      </c>
      <c r="I6" s="160"/>
      <c r="J6" s="160" t="s">
        <v>368</v>
      </c>
      <c r="K6" s="160"/>
      <c r="L6" s="160"/>
      <c r="M6" s="160"/>
      <c r="N6" s="171" t="s">
        <v>368</v>
      </c>
      <c r="O6" s="171"/>
      <c r="P6" s="172"/>
      <c r="Q6" s="172"/>
      <c r="R6" s="163"/>
      <c r="S6" s="172" t="s">
        <v>368</v>
      </c>
      <c r="T6" s="163" t="s">
        <v>368</v>
      </c>
      <c r="U6" s="163"/>
      <c r="V6" s="163"/>
      <c r="W6" s="163"/>
      <c r="X6" s="163" t="s">
        <v>368</v>
      </c>
      <c r="Y6" s="163" t="s">
        <v>368</v>
      </c>
      <c r="Z6" s="163"/>
      <c r="AA6" s="163"/>
      <c r="AB6" s="164" t="s">
        <v>368</v>
      </c>
      <c r="AC6" s="56" t="s">
        <v>368</v>
      </c>
      <c r="AD6" s="175" t="s">
        <v>368</v>
      </c>
      <c r="AE6" s="56"/>
      <c r="AF6" s="56" t="s">
        <v>368</v>
      </c>
      <c r="AG6" s="56"/>
      <c r="AH6" s="56" t="s">
        <v>368</v>
      </c>
      <c r="AI6" s="56" t="s">
        <v>368</v>
      </c>
      <c r="AJ6" s="56" t="s">
        <v>368</v>
      </c>
      <c r="AK6" s="56" t="s">
        <v>368</v>
      </c>
      <c r="AL6" s="56" t="s">
        <v>368</v>
      </c>
      <c r="AM6" s="56"/>
      <c r="AN6" s="56"/>
      <c r="AO6" s="56"/>
      <c r="AP6" s="58"/>
      <c r="AQ6" s="56" t="s">
        <v>368</v>
      </c>
      <c r="AR6" s="56"/>
      <c r="AS6" s="56"/>
      <c r="AT6" s="13"/>
      <c r="AU6" s="13" t="s">
        <v>370</v>
      </c>
      <c r="AV6" s="13" t="s">
        <v>370</v>
      </c>
      <c r="AW6" s="57" t="s">
        <v>370</v>
      </c>
      <c r="AX6" s="16"/>
      <c r="AY6" s="16"/>
      <c r="AZ6" s="16"/>
      <c r="BA6" s="16" t="s">
        <v>370</v>
      </c>
      <c r="BB6" s="176" t="s">
        <v>370</v>
      </c>
      <c r="BC6" s="167" t="s">
        <v>370</v>
      </c>
      <c r="BD6" s="167"/>
      <c r="BE6" s="168"/>
      <c r="BF6" s="169" t="s">
        <v>370</v>
      </c>
      <c r="BG6" s="170" t="s">
        <v>370</v>
      </c>
      <c r="BH6" s="170" t="s">
        <v>370</v>
      </c>
      <c r="BI6" s="170" t="s">
        <v>370</v>
      </c>
      <c r="BJ6" s="170"/>
    </row>
    <row r="7" spans="1:70" ht="25.15" customHeight="1">
      <c r="A7" s="158">
        <f t="shared" si="2"/>
        <v>4</v>
      </c>
      <c r="B7" s="116" t="s">
        <v>648</v>
      </c>
      <c r="C7" s="116" t="s">
        <v>649</v>
      </c>
      <c r="D7" s="116" t="s">
        <v>373</v>
      </c>
      <c r="E7" s="116" t="s">
        <v>262</v>
      </c>
      <c r="F7" s="116" t="s">
        <v>263</v>
      </c>
      <c r="G7" s="121" t="s">
        <v>264</v>
      </c>
      <c r="H7" s="120" t="s">
        <v>255</v>
      </c>
      <c r="I7" s="160" t="s">
        <v>368</v>
      </c>
      <c r="J7" s="160" t="s">
        <v>368</v>
      </c>
      <c r="K7" s="160"/>
      <c r="L7" s="160"/>
      <c r="M7" s="160"/>
      <c r="N7" s="171" t="s">
        <v>368</v>
      </c>
      <c r="O7" s="171"/>
      <c r="P7" s="172"/>
      <c r="Q7" s="172"/>
      <c r="R7" s="163"/>
      <c r="S7" s="172"/>
      <c r="T7" s="163"/>
      <c r="U7" s="163"/>
      <c r="V7" s="163"/>
      <c r="W7" s="163"/>
      <c r="X7" s="163"/>
      <c r="Y7" s="163"/>
      <c r="Z7" s="163"/>
      <c r="AA7" s="163"/>
      <c r="AB7" s="164"/>
      <c r="AC7" s="58"/>
      <c r="AD7" s="175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/>
      <c r="AQ7" s="56"/>
      <c r="AR7" s="56"/>
      <c r="AS7" s="56"/>
      <c r="AT7" s="13"/>
      <c r="AU7" s="13"/>
      <c r="AV7" s="13"/>
      <c r="AW7" s="57"/>
      <c r="AX7" s="16"/>
      <c r="AY7" s="16"/>
      <c r="AZ7" s="16"/>
      <c r="BA7" s="16"/>
      <c r="BB7" s="173"/>
      <c r="BC7" s="167"/>
      <c r="BD7" s="167"/>
      <c r="BE7" s="168"/>
      <c r="BF7" s="169"/>
      <c r="BG7" s="170"/>
      <c r="BH7" s="170"/>
      <c r="BI7" s="170"/>
      <c r="BJ7" s="170"/>
    </row>
    <row r="8" spans="1:70" ht="25.15" customHeight="1">
      <c r="A8" s="158">
        <f t="shared" si="2"/>
        <v>5</v>
      </c>
      <c r="B8" s="116" t="s">
        <v>650</v>
      </c>
      <c r="C8" s="116" t="s">
        <v>651</v>
      </c>
      <c r="D8" s="116" t="s">
        <v>367</v>
      </c>
      <c r="E8" s="116" t="s">
        <v>265</v>
      </c>
      <c r="F8" s="116" t="s">
        <v>266</v>
      </c>
      <c r="G8" s="121" t="s">
        <v>267</v>
      </c>
      <c r="H8" s="120" t="s">
        <v>255</v>
      </c>
      <c r="I8" s="160"/>
      <c r="J8" s="160" t="s">
        <v>368</v>
      </c>
      <c r="K8" s="160"/>
      <c r="L8" s="160"/>
      <c r="M8" s="160"/>
      <c r="N8" s="171" t="s">
        <v>368</v>
      </c>
      <c r="O8" s="171"/>
      <c r="P8" s="172"/>
      <c r="Q8" s="172" t="s">
        <v>368</v>
      </c>
      <c r="R8" s="163"/>
      <c r="S8" s="172"/>
      <c r="T8" s="163"/>
      <c r="U8" s="163"/>
      <c r="V8" s="163"/>
      <c r="W8" s="163"/>
      <c r="X8" s="163"/>
      <c r="Y8" s="163"/>
      <c r="Z8" s="163"/>
      <c r="AA8" s="163"/>
      <c r="AB8" s="164"/>
      <c r="AC8" s="58"/>
      <c r="AD8" s="175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/>
      <c r="AQ8" s="56"/>
      <c r="AR8" s="56"/>
      <c r="AS8" s="56"/>
      <c r="AT8" s="13"/>
      <c r="AU8" s="13"/>
      <c r="AV8" s="13"/>
      <c r="AW8" s="57"/>
      <c r="AX8" s="16"/>
      <c r="AY8" s="16"/>
      <c r="AZ8" s="16"/>
      <c r="BA8" s="16"/>
      <c r="BB8" s="173"/>
      <c r="BC8" s="167"/>
      <c r="BD8" s="167"/>
      <c r="BE8" s="168"/>
      <c r="BF8" s="169"/>
      <c r="BG8" s="170"/>
      <c r="BH8" s="170"/>
      <c r="BI8" s="170"/>
      <c r="BJ8" s="170"/>
    </row>
    <row r="9" spans="1:70" ht="25.15" customHeight="1">
      <c r="A9" s="158">
        <f t="shared" si="2"/>
        <v>6</v>
      </c>
      <c r="B9" s="116" t="s">
        <v>652</v>
      </c>
      <c r="C9" s="116" t="s">
        <v>653</v>
      </c>
      <c r="D9" s="116" t="s">
        <v>367</v>
      </c>
      <c r="E9" s="116" t="s">
        <v>277</v>
      </c>
      <c r="F9" s="177" t="s">
        <v>278</v>
      </c>
      <c r="G9" s="121" t="s">
        <v>279</v>
      </c>
      <c r="H9" s="120" t="s">
        <v>255</v>
      </c>
      <c r="I9" s="160"/>
      <c r="J9" s="160" t="s">
        <v>368</v>
      </c>
      <c r="K9" s="160"/>
      <c r="L9" s="160"/>
      <c r="M9" s="160"/>
      <c r="N9" s="171" t="s">
        <v>368</v>
      </c>
      <c r="O9" s="171"/>
      <c r="P9" s="172"/>
      <c r="Q9" s="172"/>
      <c r="R9" s="163"/>
      <c r="S9" s="172"/>
      <c r="T9" s="163"/>
      <c r="U9" s="163"/>
      <c r="V9" s="163"/>
      <c r="W9" s="163"/>
      <c r="X9" s="163"/>
      <c r="Y9" s="163"/>
      <c r="Z9" s="163"/>
      <c r="AA9" s="163"/>
      <c r="AB9" s="164"/>
      <c r="AC9" s="58" t="s">
        <v>368</v>
      </c>
      <c r="AD9" s="175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/>
      <c r="AQ9" s="56"/>
      <c r="AR9" s="56"/>
      <c r="AS9" s="56"/>
      <c r="AT9" s="13" t="s">
        <v>370</v>
      </c>
      <c r="AU9" s="13"/>
      <c r="AV9" s="13"/>
      <c r="AW9" s="57"/>
      <c r="AX9" s="16"/>
      <c r="AY9" s="16" t="s">
        <v>370</v>
      </c>
      <c r="AZ9" s="16"/>
      <c r="BA9" s="16"/>
      <c r="BB9" s="176" t="s">
        <v>370</v>
      </c>
      <c r="BC9" s="167"/>
      <c r="BD9" s="167"/>
      <c r="BE9" s="168"/>
      <c r="BF9" s="169"/>
      <c r="BG9" s="170"/>
      <c r="BH9" s="170" t="s">
        <v>370</v>
      </c>
      <c r="BI9" s="170"/>
      <c r="BJ9" s="170"/>
    </row>
    <row r="10" spans="1:70" ht="25.15" customHeight="1">
      <c r="A10" s="158">
        <f t="shared" si="2"/>
        <v>7</v>
      </c>
      <c r="B10" s="178" t="s">
        <v>654</v>
      </c>
      <c r="C10" s="178" t="s">
        <v>655</v>
      </c>
      <c r="D10" s="178" t="s">
        <v>373</v>
      </c>
      <c r="E10" s="178" t="s">
        <v>268</v>
      </c>
      <c r="F10" s="178" t="s">
        <v>269</v>
      </c>
      <c r="G10" s="127" t="s">
        <v>270</v>
      </c>
      <c r="H10" s="120" t="s">
        <v>255</v>
      </c>
      <c r="I10" s="179" t="s">
        <v>368</v>
      </c>
      <c r="J10" s="179" t="s">
        <v>368</v>
      </c>
      <c r="K10" s="179"/>
      <c r="L10" s="179"/>
      <c r="M10" s="160"/>
      <c r="N10" s="171"/>
      <c r="O10" s="171" t="s">
        <v>368</v>
      </c>
      <c r="P10" s="172"/>
      <c r="Q10" s="172"/>
      <c r="R10" s="163"/>
      <c r="S10" s="172"/>
      <c r="T10" s="163"/>
      <c r="U10" s="163"/>
      <c r="V10" s="163" t="s">
        <v>368</v>
      </c>
      <c r="W10" s="163"/>
      <c r="X10" s="163"/>
      <c r="Y10" s="163"/>
      <c r="Z10" s="163" t="s">
        <v>368</v>
      </c>
      <c r="AA10" s="163"/>
      <c r="AB10" s="164"/>
      <c r="AC10" s="58"/>
      <c r="AD10" s="175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/>
      <c r="AQ10" s="56"/>
      <c r="AR10" s="56"/>
      <c r="AS10" s="56"/>
      <c r="AT10" s="13"/>
      <c r="AU10" s="13"/>
      <c r="AV10" s="13"/>
      <c r="AW10" s="57"/>
      <c r="AX10" s="16"/>
      <c r="AY10" s="16"/>
      <c r="AZ10" s="16"/>
      <c r="BA10" s="16"/>
      <c r="BB10" s="173"/>
      <c r="BC10" s="167"/>
      <c r="BD10" s="167"/>
      <c r="BE10" s="168"/>
      <c r="BF10" s="169"/>
      <c r="BG10" s="170"/>
      <c r="BI10" s="170"/>
      <c r="BJ10" s="170" t="s">
        <v>370</v>
      </c>
    </row>
    <row r="11" spans="1:70" ht="25.15" customHeight="1">
      <c r="A11" s="158">
        <f t="shared" si="2"/>
        <v>8</v>
      </c>
      <c r="B11" s="178" t="s">
        <v>656</v>
      </c>
      <c r="C11" s="178" t="s">
        <v>502</v>
      </c>
      <c r="D11" s="178" t="s">
        <v>367</v>
      </c>
      <c r="E11" s="178" t="s">
        <v>271</v>
      </c>
      <c r="F11" s="178" t="s">
        <v>272</v>
      </c>
      <c r="G11" s="127" t="s">
        <v>273</v>
      </c>
      <c r="H11" s="120" t="s">
        <v>255</v>
      </c>
      <c r="I11" s="179" t="s">
        <v>368</v>
      </c>
      <c r="J11" s="179"/>
      <c r="K11" s="179"/>
      <c r="L11" s="179"/>
      <c r="M11" s="160"/>
      <c r="N11" s="171"/>
      <c r="O11" s="171"/>
      <c r="P11" s="172"/>
      <c r="Q11" s="172"/>
      <c r="R11" s="163"/>
      <c r="S11" s="172"/>
      <c r="T11" s="163"/>
      <c r="U11" s="163"/>
      <c r="V11" s="163"/>
      <c r="W11" s="163"/>
      <c r="X11" s="163"/>
      <c r="Y11" s="163"/>
      <c r="Z11" s="163" t="s">
        <v>368</v>
      </c>
      <c r="AA11" s="163" t="s">
        <v>368</v>
      </c>
      <c r="AB11" s="164" t="s">
        <v>368</v>
      </c>
      <c r="AC11" s="58" t="s">
        <v>368</v>
      </c>
      <c r="AD11" s="175"/>
      <c r="AE11" s="56" t="s">
        <v>368</v>
      </c>
      <c r="AF11" s="56"/>
      <c r="AG11" s="56"/>
      <c r="AH11" s="56" t="s">
        <v>368</v>
      </c>
      <c r="AI11" s="56" t="s">
        <v>368</v>
      </c>
      <c r="AJ11" s="56" t="s">
        <v>368</v>
      </c>
      <c r="AK11" s="56" t="s">
        <v>368</v>
      </c>
      <c r="AL11" s="56" t="s">
        <v>368</v>
      </c>
      <c r="AM11" s="56" t="s">
        <v>368</v>
      </c>
      <c r="AN11" s="56" t="s">
        <v>368</v>
      </c>
      <c r="AO11" s="56" t="s">
        <v>368</v>
      </c>
      <c r="AP11" s="58" t="s">
        <v>368</v>
      </c>
      <c r="AQ11" s="56" t="s">
        <v>368</v>
      </c>
      <c r="AR11" s="56" t="s">
        <v>368</v>
      </c>
      <c r="AS11" s="56"/>
      <c r="AT11" s="13" t="s">
        <v>643</v>
      </c>
      <c r="AU11" s="13" t="s">
        <v>643</v>
      </c>
      <c r="AV11" s="13"/>
      <c r="AW11" s="57" t="s">
        <v>370</v>
      </c>
      <c r="AX11" s="16" t="s">
        <v>370</v>
      </c>
      <c r="AY11" s="16" t="s">
        <v>370</v>
      </c>
      <c r="AZ11" s="16" t="s">
        <v>370</v>
      </c>
      <c r="BA11" s="16" t="s">
        <v>370</v>
      </c>
      <c r="BB11" s="176" t="s">
        <v>370</v>
      </c>
      <c r="BC11" s="167"/>
      <c r="BD11" s="167"/>
      <c r="BE11" s="168"/>
      <c r="BF11" s="169"/>
      <c r="BG11" s="170"/>
      <c r="BH11" s="170"/>
      <c r="BI11" s="170"/>
      <c r="BJ11" s="170"/>
    </row>
    <row r="12" spans="1:70" ht="25.15" customHeight="1">
      <c r="A12" s="158">
        <f t="shared" si="2"/>
        <v>9</v>
      </c>
      <c r="B12" s="178" t="s">
        <v>657</v>
      </c>
      <c r="C12" s="178" t="s">
        <v>502</v>
      </c>
      <c r="D12" s="178" t="s">
        <v>373</v>
      </c>
      <c r="E12" s="178" t="s">
        <v>274</v>
      </c>
      <c r="F12" s="178" t="s">
        <v>275</v>
      </c>
      <c r="G12" s="127" t="s">
        <v>276</v>
      </c>
      <c r="H12" s="120" t="s">
        <v>255</v>
      </c>
      <c r="I12" s="179"/>
      <c r="J12" s="179" t="s">
        <v>368</v>
      </c>
      <c r="K12" s="179"/>
      <c r="L12" s="179"/>
      <c r="M12" s="179"/>
      <c r="N12" s="180" t="s">
        <v>368</v>
      </c>
      <c r="O12" s="180" t="s">
        <v>368</v>
      </c>
      <c r="P12" s="181"/>
      <c r="Q12" s="181"/>
      <c r="R12" s="163"/>
      <c r="S12" s="181" t="s">
        <v>368</v>
      </c>
      <c r="T12" s="163" t="s">
        <v>368</v>
      </c>
      <c r="U12" s="163" t="s">
        <v>368</v>
      </c>
      <c r="V12" s="163"/>
      <c r="W12" s="163" t="s">
        <v>368</v>
      </c>
      <c r="X12" s="163" t="s">
        <v>369</v>
      </c>
      <c r="Y12" s="163" t="s">
        <v>368</v>
      </c>
      <c r="Z12" s="163" t="s">
        <v>368</v>
      </c>
      <c r="AA12" s="163" t="s">
        <v>368</v>
      </c>
      <c r="AB12" s="164"/>
      <c r="AC12" s="58"/>
      <c r="AD12" s="175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/>
      <c r="AQ12" s="56"/>
      <c r="AR12" s="56"/>
      <c r="AS12" s="56"/>
      <c r="AT12" s="13"/>
      <c r="AU12" s="13"/>
      <c r="AV12" s="13"/>
      <c r="AW12" s="57"/>
      <c r="AX12" s="16"/>
      <c r="AY12" s="16"/>
      <c r="AZ12" s="16"/>
      <c r="BA12" s="16"/>
      <c r="BB12" s="173"/>
      <c r="BC12" s="167"/>
      <c r="BD12" s="167"/>
      <c r="BE12" s="168"/>
      <c r="BF12" s="169"/>
      <c r="BG12" s="170"/>
      <c r="BH12" s="170"/>
      <c r="BI12" s="170"/>
      <c r="BJ12" s="170"/>
      <c r="BR12" s="170"/>
    </row>
    <row r="13" spans="1:70" ht="25.15" customHeight="1">
      <c r="A13" s="182">
        <f t="shared" si="2"/>
        <v>10</v>
      </c>
      <c r="B13" s="178" t="s">
        <v>658</v>
      </c>
      <c r="C13" s="178" t="s">
        <v>578</v>
      </c>
      <c r="D13" s="178" t="s">
        <v>378</v>
      </c>
      <c r="E13" s="178" t="s">
        <v>280</v>
      </c>
      <c r="F13" s="183" t="s">
        <v>281</v>
      </c>
      <c r="G13" s="127" t="s">
        <v>282</v>
      </c>
      <c r="H13" s="128" t="s">
        <v>255</v>
      </c>
      <c r="I13" s="179" t="s">
        <v>368</v>
      </c>
      <c r="J13" s="179" t="s">
        <v>368</v>
      </c>
      <c r="K13" s="179" t="s">
        <v>368</v>
      </c>
      <c r="L13" s="179" t="s">
        <v>368</v>
      </c>
      <c r="M13" s="184"/>
      <c r="N13" s="185" t="s">
        <v>368</v>
      </c>
      <c r="O13" s="179"/>
      <c r="P13" s="184"/>
      <c r="Q13" s="184"/>
      <c r="R13" s="186"/>
      <c r="S13" s="186" t="s">
        <v>368</v>
      </c>
      <c r="T13" s="186"/>
      <c r="U13" s="186"/>
      <c r="V13" s="187"/>
      <c r="W13" s="187" t="s">
        <v>368</v>
      </c>
      <c r="X13" s="187"/>
      <c r="Y13" s="187"/>
      <c r="Z13" s="187"/>
      <c r="AA13" s="187"/>
      <c r="AB13" s="187"/>
      <c r="AC13" s="58"/>
      <c r="AD13" s="175"/>
      <c r="AE13" s="56"/>
      <c r="AF13" s="56"/>
      <c r="AG13" s="56"/>
      <c r="AH13" s="56"/>
      <c r="AI13" s="56"/>
      <c r="AJ13" s="56" t="s">
        <v>368</v>
      </c>
      <c r="AK13" s="56"/>
      <c r="AL13" s="56"/>
      <c r="AM13" s="56"/>
      <c r="AN13" s="56"/>
      <c r="AO13" s="56"/>
      <c r="AP13" s="58" t="s">
        <v>368</v>
      </c>
      <c r="AQ13" s="56" t="s">
        <v>368</v>
      </c>
      <c r="AR13" s="56"/>
      <c r="AS13" s="56"/>
      <c r="AT13" s="13" t="s">
        <v>370</v>
      </c>
      <c r="AU13" s="13"/>
      <c r="AV13" s="13"/>
      <c r="AW13" s="57" t="s">
        <v>370</v>
      </c>
      <c r="AX13" s="16"/>
      <c r="AY13" s="16" t="s">
        <v>370</v>
      </c>
      <c r="AZ13" s="16"/>
      <c r="BA13" s="16"/>
      <c r="BB13" s="173"/>
      <c r="BC13" s="167"/>
      <c r="BD13" s="167"/>
      <c r="BE13" s="168"/>
      <c r="BF13" s="169"/>
      <c r="BG13" s="170"/>
      <c r="BH13" s="170"/>
      <c r="BI13" s="170"/>
      <c r="BJ13" s="170"/>
    </row>
    <row r="14" spans="1:70" ht="25.15" customHeight="1">
      <c r="A14" s="13">
        <f t="shared" si="2"/>
        <v>11</v>
      </c>
      <c r="B14" s="132" t="s">
        <v>659</v>
      </c>
      <c r="C14" s="132" t="s">
        <v>462</v>
      </c>
      <c r="D14" s="132" t="s">
        <v>378</v>
      </c>
      <c r="E14" s="133" t="s">
        <v>283</v>
      </c>
      <c r="F14" s="133" t="s">
        <v>284</v>
      </c>
      <c r="G14" s="188" t="s">
        <v>285</v>
      </c>
      <c r="H14" s="118" t="s">
        <v>255</v>
      </c>
      <c r="I14" s="83"/>
      <c r="J14" s="83"/>
      <c r="K14" s="83"/>
      <c r="L14" s="83" t="s">
        <v>368</v>
      </c>
      <c r="M14" s="84"/>
      <c r="N14" s="58" t="s">
        <v>368</v>
      </c>
      <c r="O14" s="56"/>
      <c r="P14" s="56"/>
      <c r="Q14" s="56"/>
      <c r="R14" s="186"/>
      <c r="S14" s="166"/>
      <c r="T14" s="166"/>
      <c r="U14" s="166"/>
      <c r="V14" s="56"/>
      <c r="W14" s="56"/>
      <c r="X14" s="56"/>
      <c r="Y14" s="56"/>
      <c r="Z14" s="56"/>
      <c r="AA14" s="56"/>
      <c r="AB14" s="58"/>
      <c r="AC14" s="58"/>
      <c r="AD14" s="175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/>
      <c r="AQ14" s="56"/>
      <c r="AR14" s="56"/>
      <c r="AS14" s="56"/>
      <c r="AT14" s="13"/>
      <c r="AU14" s="13"/>
      <c r="AV14" s="13"/>
      <c r="AW14" s="57"/>
      <c r="AX14" s="16"/>
      <c r="AY14" s="16"/>
      <c r="AZ14" s="16"/>
      <c r="BA14" s="16"/>
      <c r="BB14" s="173"/>
      <c r="BC14" s="167"/>
      <c r="BD14" s="167"/>
      <c r="BE14" s="168"/>
      <c r="BF14" s="169"/>
      <c r="BG14" s="170"/>
      <c r="BH14" s="170"/>
      <c r="BI14" s="170"/>
      <c r="BJ14" s="170"/>
    </row>
    <row r="15" spans="1:70" ht="25.15" customHeight="1">
      <c r="A15" s="13">
        <f t="shared" ref="A15:A24" si="3">A14+1</f>
        <v>12</v>
      </c>
      <c r="B15" s="132" t="s">
        <v>660</v>
      </c>
      <c r="C15" s="132" t="s">
        <v>462</v>
      </c>
      <c r="D15" s="132" t="s">
        <v>378</v>
      </c>
      <c r="E15" s="133" t="s">
        <v>283</v>
      </c>
      <c r="F15" s="133" t="s">
        <v>284</v>
      </c>
      <c r="G15" s="188" t="s">
        <v>285</v>
      </c>
      <c r="H15" s="138" t="s">
        <v>255</v>
      </c>
      <c r="I15" s="83"/>
      <c r="J15" s="83"/>
      <c r="K15" s="83"/>
      <c r="L15" s="83" t="s">
        <v>368</v>
      </c>
      <c r="M15" s="84"/>
      <c r="N15" s="58" t="s">
        <v>368</v>
      </c>
      <c r="O15" s="56"/>
      <c r="P15" s="56"/>
      <c r="Q15" s="56"/>
      <c r="R15" s="166"/>
      <c r="S15" s="56"/>
      <c r="T15" s="56"/>
      <c r="U15" s="56"/>
      <c r="V15" s="56"/>
      <c r="W15" s="56"/>
      <c r="X15" s="56"/>
      <c r="Y15" s="56"/>
      <c r="Z15" s="56"/>
      <c r="AA15" s="56"/>
      <c r="AB15" s="58"/>
      <c r="AC15" s="58"/>
      <c r="AD15" s="175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/>
      <c r="AQ15" s="56"/>
      <c r="AR15" s="56"/>
      <c r="AS15" s="56"/>
      <c r="AT15" s="13"/>
      <c r="AU15" s="13"/>
      <c r="AV15" s="13"/>
      <c r="AW15" s="57"/>
      <c r="AX15" s="16"/>
      <c r="AY15" s="16"/>
      <c r="AZ15" s="16"/>
      <c r="BA15" s="16"/>
      <c r="BB15" s="173"/>
      <c r="BC15" s="167"/>
      <c r="BD15" s="167"/>
      <c r="BE15" s="168"/>
      <c r="BF15" s="169"/>
      <c r="BG15" s="170"/>
      <c r="BH15" s="170"/>
      <c r="BI15" s="170"/>
      <c r="BJ15" s="170"/>
    </row>
    <row r="16" spans="1:70" ht="25.15" customHeight="1">
      <c r="A16" s="13">
        <f t="shared" si="3"/>
        <v>13</v>
      </c>
      <c r="B16" s="132" t="s">
        <v>661</v>
      </c>
      <c r="C16" s="132" t="s">
        <v>388</v>
      </c>
      <c r="D16" s="132" t="s">
        <v>367</v>
      </c>
      <c r="E16" s="132" t="s">
        <v>286</v>
      </c>
      <c r="F16" s="137" t="s">
        <v>136</v>
      </c>
      <c r="G16" s="189" t="s">
        <v>287</v>
      </c>
      <c r="H16" s="118" t="s">
        <v>255</v>
      </c>
      <c r="I16" s="83" t="s">
        <v>368</v>
      </c>
      <c r="J16" s="83" t="s">
        <v>368</v>
      </c>
      <c r="K16" s="83" t="s">
        <v>368</v>
      </c>
      <c r="L16" s="83" t="s">
        <v>368</v>
      </c>
      <c r="M16" s="84"/>
      <c r="N16" s="58" t="s">
        <v>368</v>
      </c>
      <c r="O16" s="56" t="s">
        <v>368</v>
      </c>
      <c r="P16" s="56" t="s">
        <v>368</v>
      </c>
      <c r="Q16" s="56" t="s">
        <v>368</v>
      </c>
      <c r="R16" s="56"/>
      <c r="S16" s="56"/>
      <c r="T16" s="56"/>
      <c r="U16" s="56" t="s">
        <v>368</v>
      </c>
      <c r="V16" s="56" t="s">
        <v>368</v>
      </c>
      <c r="W16" s="56" t="s">
        <v>368</v>
      </c>
      <c r="X16" s="56"/>
      <c r="Y16" s="56" t="s">
        <v>368</v>
      </c>
      <c r="Z16" s="56" t="s">
        <v>368</v>
      </c>
      <c r="AA16" s="56"/>
      <c r="AB16" s="58" t="s">
        <v>368</v>
      </c>
      <c r="AC16" s="58" t="s">
        <v>368</v>
      </c>
      <c r="AD16" s="175"/>
      <c r="AE16" s="56" t="s">
        <v>368</v>
      </c>
      <c r="AF16" s="56"/>
      <c r="AG16" s="56"/>
      <c r="AH16" s="56"/>
      <c r="AI16" s="56"/>
      <c r="AJ16" s="56"/>
      <c r="AK16" s="56"/>
      <c r="AL16" s="56"/>
      <c r="AM16" s="56"/>
      <c r="AN16" s="56"/>
      <c r="AO16" s="56" t="s">
        <v>368</v>
      </c>
      <c r="AP16" s="58" t="s">
        <v>368</v>
      </c>
      <c r="AQ16" s="56"/>
      <c r="AR16" s="56"/>
      <c r="AS16" s="56"/>
      <c r="AT16" s="13" t="s">
        <v>370</v>
      </c>
      <c r="AU16" s="13"/>
      <c r="AV16" s="13" t="s">
        <v>370</v>
      </c>
      <c r="AW16" s="57"/>
      <c r="AX16" s="16"/>
      <c r="AY16" s="16" t="s">
        <v>370</v>
      </c>
      <c r="AZ16" s="16" t="s">
        <v>370</v>
      </c>
      <c r="BA16" s="16"/>
      <c r="BB16" s="173"/>
      <c r="BC16" s="167"/>
      <c r="BD16" s="167" t="s">
        <v>370</v>
      </c>
      <c r="BE16" s="168"/>
      <c r="BF16" s="169"/>
      <c r="BG16" s="170"/>
      <c r="BH16" s="170" t="s">
        <v>370</v>
      </c>
      <c r="BI16" s="170"/>
      <c r="BJ16" s="170"/>
    </row>
    <row r="17" spans="1:62" ht="25.15" customHeight="1">
      <c r="A17" s="13">
        <f t="shared" si="3"/>
        <v>14</v>
      </c>
      <c r="B17" s="132" t="s">
        <v>662</v>
      </c>
      <c r="C17" s="132" t="s">
        <v>663</v>
      </c>
      <c r="D17" s="132" t="s">
        <v>378</v>
      </c>
      <c r="E17" s="132" t="s">
        <v>288</v>
      </c>
      <c r="F17" s="137" t="s">
        <v>289</v>
      </c>
      <c r="G17" s="135" t="s">
        <v>290</v>
      </c>
      <c r="H17" s="131" t="s">
        <v>255</v>
      </c>
      <c r="I17" s="83"/>
      <c r="J17" s="83" t="s">
        <v>368</v>
      </c>
      <c r="K17" s="83" t="s">
        <v>368</v>
      </c>
      <c r="L17" s="83" t="s">
        <v>368</v>
      </c>
      <c r="M17" s="84"/>
      <c r="N17" s="83" t="s">
        <v>368</v>
      </c>
      <c r="O17" s="84"/>
      <c r="P17" s="84"/>
      <c r="Q17" s="84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8"/>
      <c r="AC17" s="58"/>
      <c r="AD17" s="175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 t="s">
        <v>368</v>
      </c>
      <c r="AP17" s="58"/>
      <c r="AQ17" s="56"/>
      <c r="AR17" s="56"/>
      <c r="AS17" s="56"/>
      <c r="AT17" s="13"/>
      <c r="AU17" s="13"/>
      <c r="AV17" s="13"/>
      <c r="AW17" s="57"/>
      <c r="AX17" s="16"/>
      <c r="AY17" s="16"/>
      <c r="AZ17" s="16"/>
      <c r="BA17" s="16"/>
      <c r="BB17" s="173"/>
      <c r="BC17" s="167"/>
      <c r="BD17" s="167"/>
      <c r="BE17" s="168"/>
      <c r="BF17" s="169"/>
      <c r="BG17" s="170"/>
      <c r="BH17" s="170"/>
      <c r="BI17" s="170"/>
      <c r="BJ17" s="170"/>
    </row>
    <row r="18" spans="1:62" ht="25.15" customHeight="1">
      <c r="A18" s="13">
        <f t="shared" si="3"/>
        <v>15</v>
      </c>
      <c r="B18" s="132" t="s">
        <v>664</v>
      </c>
      <c r="C18" s="132" t="s">
        <v>665</v>
      </c>
      <c r="D18" s="132" t="s">
        <v>378</v>
      </c>
      <c r="E18" s="132" t="s">
        <v>291</v>
      </c>
      <c r="F18" s="133" t="s">
        <v>292</v>
      </c>
      <c r="G18" s="135" t="s">
        <v>293</v>
      </c>
      <c r="H18" s="131" t="s">
        <v>255</v>
      </c>
      <c r="I18" s="58"/>
      <c r="J18" s="58"/>
      <c r="K18" s="58"/>
      <c r="L18" s="58"/>
      <c r="M18" s="58"/>
      <c r="N18" s="58"/>
      <c r="O18" s="58" t="s">
        <v>368</v>
      </c>
      <c r="P18" s="58" t="s">
        <v>368</v>
      </c>
      <c r="Q18" s="56" t="s">
        <v>368</v>
      </c>
      <c r="R18" s="56"/>
      <c r="S18" s="56" t="s">
        <v>368</v>
      </c>
      <c r="T18" s="56" t="s">
        <v>368</v>
      </c>
      <c r="U18" s="56" t="s">
        <v>368</v>
      </c>
      <c r="V18" s="56"/>
      <c r="W18" s="56" t="s">
        <v>368</v>
      </c>
      <c r="X18" s="56" t="s">
        <v>368</v>
      </c>
      <c r="Y18" s="56" t="s">
        <v>368</v>
      </c>
      <c r="Z18" s="56"/>
      <c r="AA18" s="56" t="s">
        <v>368</v>
      </c>
      <c r="AB18" s="58"/>
      <c r="AC18" s="58"/>
      <c r="AD18" s="175" t="s">
        <v>368</v>
      </c>
      <c r="AE18" s="56"/>
      <c r="AF18" s="56"/>
      <c r="AG18" s="56"/>
      <c r="AH18" s="56"/>
      <c r="AI18" s="56" t="s">
        <v>368</v>
      </c>
      <c r="AJ18" s="56" t="s">
        <v>368</v>
      </c>
      <c r="AK18" s="56"/>
      <c r="AL18" s="56"/>
      <c r="AM18" s="56"/>
      <c r="AN18" s="56"/>
      <c r="AO18" s="56" t="s">
        <v>368</v>
      </c>
      <c r="AP18" s="58"/>
      <c r="AQ18" s="56"/>
      <c r="AR18" s="56"/>
      <c r="AS18" s="56"/>
      <c r="AT18" s="13"/>
      <c r="AU18" s="13" t="s">
        <v>370</v>
      </c>
      <c r="AV18" s="13"/>
      <c r="AW18" s="57" t="s">
        <v>370</v>
      </c>
      <c r="AX18" s="16" t="s">
        <v>370</v>
      </c>
      <c r="AY18" s="16"/>
      <c r="AZ18" s="39" t="s">
        <v>370</v>
      </c>
      <c r="BA18" s="39" t="s">
        <v>370</v>
      </c>
      <c r="BB18" s="176" t="s">
        <v>370</v>
      </c>
      <c r="BC18" s="190" t="s">
        <v>370</v>
      </c>
      <c r="BD18" s="190" t="s">
        <v>370</v>
      </c>
      <c r="BE18" s="168" t="s">
        <v>370</v>
      </c>
      <c r="BF18" s="169"/>
      <c r="BG18" s="170"/>
      <c r="BH18" s="170" t="s">
        <v>370</v>
      </c>
      <c r="BI18" s="170"/>
      <c r="BJ18" s="170"/>
    </row>
    <row r="19" spans="1:62" ht="25.15" customHeight="1">
      <c r="A19" s="13">
        <f t="shared" si="3"/>
        <v>16</v>
      </c>
      <c r="B19" s="132" t="s">
        <v>666</v>
      </c>
      <c r="C19" s="132" t="s">
        <v>480</v>
      </c>
      <c r="D19" s="132" t="s">
        <v>378</v>
      </c>
      <c r="E19" s="132" t="s">
        <v>294</v>
      </c>
      <c r="F19" s="136" t="s">
        <v>295</v>
      </c>
      <c r="G19" s="121" t="s">
        <v>131</v>
      </c>
      <c r="H19" s="131" t="s">
        <v>255</v>
      </c>
      <c r="I19" s="58"/>
      <c r="J19" s="58"/>
      <c r="K19" s="58"/>
      <c r="L19" s="58"/>
      <c r="M19" s="58"/>
      <c r="N19" s="58"/>
      <c r="O19" s="58" t="s">
        <v>368</v>
      </c>
      <c r="P19" s="58" t="s">
        <v>368</v>
      </c>
      <c r="Q19" s="56" t="s">
        <v>368</v>
      </c>
      <c r="R19" s="56"/>
      <c r="S19" s="56" t="s">
        <v>368</v>
      </c>
      <c r="T19" s="56" t="s">
        <v>368</v>
      </c>
      <c r="U19" s="56" t="s">
        <v>368</v>
      </c>
      <c r="V19" s="56"/>
      <c r="W19" s="56" t="s">
        <v>368</v>
      </c>
      <c r="X19" s="56" t="s">
        <v>368</v>
      </c>
      <c r="Y19" s="56" t="s">
        <v>368</v>
      </c>
      <c r="Z19" s="56" t="s">
        <v>368</v>
      </c>
      <c r="AA19" s="56" t="s">
        <v>368</v>
      </c>
      <c r="AB19" s="58" t="s">
        <v>368</v>
      </c>
      <c r="AC19" s="58" t="s">
        <v>368</v>
      </c>
      <c r="AD19" s="175" t="s">
        <v>368</v>
      </c>
      <c r="AE19" s="56" t="s">
        <v>368</v>
      </c>
      <c r="AF19" s="56"/>
      <c r="AG19" s="56"/>
      <c r="AH19" s="56" t="s">
        <v>368</v>
      </c>
      <c r="AI19" s="56" t="s">
        <v>368</v>
      </c>
      <c r="AJ19" s="56"/>
      <c r="AK19" s="56" t="s">
        <v>368</v>
      </c>
      <c r="AL19" s="56" t="s">
        <v>368</v>
      </c>
      <c r="AM19" s="56"/>
      <c r="AN19" s="56"/>
      <c r="AO19" s="56" t="s">
        <v>368</v>
      </c>
      <c r="AP19" s="58" t="s">
        <v>368</v>
      </c>
      <c r="AQ19" s="56" t="s">
        <v>368</v>
      </c>
      <c r="AR19" s="56" t="s">
        <v>368</v>
      </c>
      <c r="AS19" s="56"/>
      <c r="AT19" s="13" t="s">
        <v>370</v>
      </c>
      <c r="AU19" s="13" t="s">
        <v>370</v>
      </c>
      <c r="AV19" s="13"/>
      <c r="AW19" s="57" t="s">
        <v>370</v>
      </c>
      <c r="AX19" s="16"/>
      <c r="AY19" s="16" t="s">
        <v>370</v>
      </c>
      <c r="AZ19" s="20" t="s">
        <v>370</v>
      </c>
      <c r="BA19" s="191" t="s">
        <v>370</v>
      </c>
      <c r="BB19" s="176" t="s">
        <v>370</v>
      </c>
      <c r="BC19" s="190" t="s">
        <v>370</v>
      </c>
      <c r="BD19" s="190" t="s">
        <v>370</v>
      </c>
      <c r="BE19" s="168"/>
      <c r="BF19" s="169"/>
      <c r="BG19" s="170"/>
      <c r="BH19" s="170"/>
      <c r="BI19" s="170"/>
      <c r="BJ19" s="170" t="s">
        <v>370</v>
      </c>
    </row>
    <row r="20" spans="1:62" ht="25.15" customHeight="1">
      <c r="A20" s="13">
        <f t="shared" si="3"/>
        <v>17</v>
      </c>
      <c r="B20" s="132" t="s">
        <v>667</v>
      </c>
      <c r="C20" s="132" t="s">
        <v>668</v>
      </c>
      <c r="D20" s="132" t="s">
        <v>367</v>
      </c>
      <c r="E20" s="132" t="s">
        <v>296</v>
      </c>
      <c r="F20" s="133" t="s">
        <v>297</v>
      </c>
      <c r="G20" s="135" t="s">
        <v>298</v>
      </c>
      <c r="H20" s="131" t="s">
        <v>255</v>
      </c>
      <c r="I20" s="58"/>
      <c r="J20" s="58"/>
      <c r="K20" s="58"/>
      <c r="L20" s="58"/>
      <c r="M20" s="58"/>
      <c r="N20" s="58"/>
      <c r="O20" s="58" t="s">
        <v>368</v>
      </c>
      <c r="P20" s="58" t="s">
        <v>368</v>
      </c>
      <c r="Q20" s="56" t="s">
        <v>368</v>
      </c>
      <c r="R20" s="56"/>
      <c r="S20" s="56" t="s">
        <v>368</v>
      </c>
      <c r="T20" s="56" t="s">
        <v>368</v>
      </c>
      <c r="U20" s="56" t="s">
        <v>368</v>
      </c>
      <c r="V20" s="56" t="s">
        <v>368</v>
      </c>
      <c r="W20" s="56" t="s">
        <v>368</v>
      </c>
      <c r="X20" s="56" t="s">
        <v>368</v>
      </c>
      <c r="Y20" s="56" t="s">
        <v>368</v>
      </c>
      <c r="Z20" s="56" t="s">
        <v>368</v>
      </c>
      <c r="AA20" s="56" t="s">
        <v>368</v>
      </c>
      <c r="AB20" s="58" t="s">
        <v>368</v>
      </c>
      <c r="AC20" s="58" t="s">
        <v>368</v>
      </c>
      <c r="AD20" s="175" t="s">
        <v>368</v>
      </c>
      <c r="AE20" s="56" t="s">
        <v>368</v>
      </c>
      <c r="AF20" s="56"/>
      <c r="AG20" s="56"/>
      <c r="AH20" s="56"/>
      <c r="AI20" s="56" t="s">
        <v>368</v>
      </c>
      <c r="AJ20" s="56" t="s">
        <v>368</v>
      </c>
      <c r="AK20" s="56" t="s">
        <v>368</v>
      </c>
      <c r="AL20" s="56" t="s">
        <v>368</v>
      </c>
      <c r="AM20" s="56" t="s">
        <v>368</v>
      </c>
      <c r="AN20" s="56" t="s">
        <v>368</v>
      </c>
      <c r="AO20" s="56" t="s">
        <v>368</v>
      </c>
      <c r="AP20" s="58" t="s">
        <v>368</v>
      </c>
      <c r="AQ20" s="56"/>
      <c r="AR20" s="56" t="s">
        <v>368</v>
      </c>
      <c r="AS20" s="56"/>
      <c r="AT20" s="13" t="s">
        <v>370</v>
      </c>
      <c r="AU20" s="13" t="s">
        <v>370</v>
      </c>
      <c r="AV20" s="13"/>
      <c r="AW20" s="57" t="s">
        <v>370</v>
      </c>
      <c r="AX20" s="16" t="s">
        <v>370</v>
      </c>
      <c r="AY20" s="16" t="s">
        <v>370</v>
      </c>
      <c r="AZ20" s="20" t="s">
        <v>370</v>
      </c>
      <c r="BA20" s="191" t="s">
        <v>370</v>
      </c>
      <c r="BB20" s="173"/>
      <c r="BC20" s="190" t="s">
        <v>370</v>
      </c>
      <c r="BD20" s="190" t="s">
        <v>370</v>
      </c>
      <c r="BE20" s="168"/>
      <c r="BF20" s="169"/>
      <c r="BG20" s="170"/>
      <c r="BH20" s="170"/>
      <c r="BI20" s="170"/>
      <c r="BJ20" s="170"/>
    </row>
    <row r="21" spans="1:62" ht="25.15" customHeight="1">
      <c r="A21" s="13">
        <f t="shared" si="3"/>
        <v>18</v>
      </c>
      <c r="B21" s="132" t="s">
        <v>669</v>
      </c>
      <c r="C21" s="132" t="s">
        <v>668</v>
      </c>
      <c r="D21" s="132" t="s">
        <v>367</v>
      </c>
      <c r="E21" s="132" t="s">
        <v>296</v>
      </c>
      <c r="F21" s="133" t="s">
        <v>297</v>
      </c>
      <c r="G21" s="135" t="s">
        <v>298</v>
      </c>
      <c r="H21" s="131" t="s">
        <v>255</v>
      </c>
      <c r="I21" s="58"/>
      <c r="J21" s="58"/>
      <c r="K21" s="58"/>
      <c r="L21" s="58"/>
      <c r="M21" s="58"/>
      <c r="N21" s="58"/>
      <c r="O21" s="58" t="s">
        <v>368</v>
      </c>
      <c r="P21" s="58" t="s">
        <v>368</v>
      </c>
      <c r="Q21" s="56" t="s">
        <v>368</v>
      </c>
      <c r="R21" s="56"/>
      <c r="S21" s="56" t="s">
        <v>368</v>
      </c>
      <c r="T21" s="56" t="s">
        <v>368</v>
      </c>
      <c r="U21" s="56" t="s">
        <v>368</v>
      </c>
      <c r="V21" s="56" t="s">
        <v>368</v>
      </c>
      <c r="W21" s="56" t="s">
        <v>368</v>
      </c>
      <c r="X21" s="56" t="s">
        <v>368</v>
      </c>
      <c r="Y21" s="56" t="s">
        <v>368</v>
      </c>
      <c r="Z21" s="56" t="s">
        <v>368</v>
      </c>
      <c r="AA21" s="56" t="s">
        <v>368</v>
      </c>
      <c r="AB21" s="58" t="s">
        <v>368</v>
      </c>
      <c r="AC21" s="58" t="s">
        <v>368</v>
      </c>
      <c r="AD21" s="175" t="s">
        <v>368</v>
      </c>
      <c r="AE21" s="56" t="s">
        <v>368</v>
      </c>
      <c r="AF21" s="56"/>
      <c r="AG21" s="56"/>
      <c r="AH21" s="56" t="s">
        <v>368</v>
      </c>
      <c r="AI21" s="56" t="s">
        <v>368</v>
      </c>
      <c r="AJ21" s="56" t="s">
        <v>368</v>
      </c>
      <c r="AK21" s="56" t="s">
        <v>368</v>
      </c>
      <c r="AL21" s="56" t="s">
        <v>368</v>
      </c>
      <c r="AM21" s="56" t="s">
        <v>368</v>
      </c>
      <c r="AN21" s="56" t="s">
        <v>368</v>
      </c>
      <c r="AO21" s="56" t="s">
        <v>368</v>
      </c>
      <c r="AP21" s="58" t="s">
        <v>368</v>
      </c>
      <c r="AQ21" s="56" t="s">
        <v>368</v>
      </c>
      <c r="AR21" s="56" t="s">
        <v>368</v>
      </c>
      <c r="AS21" s="56"/>
      <c r="AT21" s="13" t="s">
        <v>370</v>
      </c>
      <c r="AU21" s="13" t="s">
        <v>370</v>
      </c>
      <c r="AV21" s="13" t="s">
        <v>370</v>
      </c>
      <c r="AW21" s="57" t="s">
        <v>370</v>
      </c>
      <c r="AX21" s="16" t="s">
        <v>370</v>
      </c>
      <c r="AY21" s="16" t="s">
        <v>370</v>
      </c>
      <c r="AZ21" s="20" t="s">
        <v>370</v>
      </c>
      <c r="BA21" s="191" t="s">
        <v>370</v>
      </c>
      <c r="BB21" s="173"/>
      <c r="BC21" s="190" t="s">
        <v>370</v>
      </c>
      <c r="BD21" s="190" t="s">
        <v>370</v>
      </c>
      <c r="BE21" s="168"/>
      <c r="BF21" s="169"/>
      <c r="BG21" s="170"/>
      <c r="BH21" s="170"/>
      <c r="BI21" s="170"/>
      <c r="BJ21" s="170"/>
    </row>
    <row r="22" spans="1:62" ht="25.15" customHeight="1">
      <c r="A22" s="13">
        <f t="shared" si="3"/>
        <v>19</v>
      </c>
      <c r="B22" s="132" t="s">
        <v>670</v>
      </c>
      <c r="C22" s="132" t="s">
        <v>482</v>
      </c>
      <c r="D22" s="132" t="s">
        <v>378</v>
      </c>
      <c r="E22" s="132" t="s">
        <v>299</v>
      </c>
      <c r="F22" s="133" t="s">
        <v>133</v>
      </c>
      <c r="G22" s="135" t="s">
        <v>134</v>
      </c>
      <c r="H22" s="131" t="s">
        <v>255</v>
      </c>
      <c r="I22" s="58"/>
      <c r="J22" s="58"/>
      <c r="K22" s="58"/>
      <c r="L22" s="58"/>
      <c r="M22" s="58"/>
      <c r="N22" s="58"/>
      <c r="O22" s="58" t="s">
        <v>368</v>
      </c>
      <c r="P22" s="58" t="s">
        <v>368</v>
      </c>
      <c r="Q22" s="56" t="s">
        <v>368</v>
      </c>
      <c r="R22" s="56"/>
      <c r="S22" s="56" t="s">
        <v>368</v>
      </c>
      <c r="T22" s="56" t="s">
        <v>368</v>
      </c>
      <c r="U22" s="56" t="s">
        <v>368</v>
      </c>
      <c r="V22" s="56" t="s">
        <v>368</v>
      </c>
      <c r="W22" s="56" t="s">
        <v>368</v>
      </c>
      <c r="X22" s="56" t="s">
        <v>368</v>
      </c>
      <c r="Y22" s="56" t="s">
        <v>368</v>
      </c>
      <c r="Z22" s="56" t="s">
        <v>368</v>
      </c>
      <c r="AA22" s="56" t="s">
        <v>368</v>
      </c>
      <c r="AB22" s="58" t="s">
        <v>368</v>
      </c>
      <c r="AC22" s="58" t="s">
        <v>368</v>
      </c>
      <c r="AD22" s="175" t="s">
        <v>368</v>
      </c>
      <c r="AE22" s="56" t="s">
        <v>368</v>
      </c>
      <c r="AF22" s="56"/>
      <c r="AG22" s="56"/>
      <c r="AH22" s="56" t="s">
        <v>368</v>
      </c>
      <c r="AI22" s="56" t="s">
        <v>368</v>
      </c>
      <c r="AJ22" s="56" t="s">
        <v>368</v>
      </c>
      <c r="AK22" s="56" t="s">
        <v>368</v>
      </c>
      <c r="AL22" s="56" t="s">
        <v>368</v>
      </c>
      <c r="AM22" s="56"/>
      <c r="AN22" s="56"/>
      <c r="AO22" s="56"/>
      <c r="AP22" s="58" t="s">
        <v>368</v>
      </c>
      <c r="AQ22" s="56" t="s">
        <v>368</v>
      </c>
      <c r="AR22" s="56" t="s">
        <v>368</v>
      </c>
      <c r="AS22" s="56"/>
      <c r="AT22" s="13" t="s">
        <v>370</v>
      </c>
      <c r="AU22" s="13" t="s">
        <v>370</v>
      </c>
      <c r="AV22" s="13" t="s">
        <v>370</v>
      </c>
      <c r="AW22" s="57" t="s">
        <v>370</v>
      </c>
      <c r="AX22" s="16" t="s">
        <v>370</v>
      </c>
      <c r="AY22" s="16" t="s">
        <v>370</v>
      </c>
      <c r="AZ22" s="20" t="s">
        <v>370</v>
      </c>
      <c r="BA22" s="191" t="s">
        <v>370</v>
      </c>
      <c r="BB22" s="176" t="s">
        <v>370</v>
      </c>
      <c r="BC22" s="190" t="s">
        <v>370</v>
      </c>
      <c r="BD22" s="190" t="s">
        <v>370</v>
      </c>
      <c r="BE22" s="168"/>
      <c r="BF22" s="169"/>
      <c r="BG22" s="170"/>
      <c r="BH22" s="170"/>
      <c r="BI22" s="170"/>
      <c r="BJ22" s="170"/>
    </row>
    <row r="23" spans="1:62" ht="25.15" customHeight="1">
      <c r="A23" s="13">
        <f t="shared" si="3"/>
        <v>20</v>
      </c>
      <c r="B23" s="132" t="s">
        <v>671</v>
      </c>
      <c r="C23" s="132" t="s">
        <v>672</v>
      </c>
      <c r="D23" s="132" t="s">
        <v>378</v>
      </c>
      <c r="E23" s="132" t="s">
        <v>300</v>
      </c>
      <c r="F23" s="133" t="s">
        <v>301</v>
      </c>
      <c r="G23" s="135" t="s">
        <v>302</v>
      </c>
      <c r="H23" s="131" t="s">
        <v>255</v>
      </c>
      <c r="I23" s="58"/>
      <c r="J23" s="58"/>
      <c r="K23" s="58"/>
      <c r="L23" s="58"/>
      <c r="M23" s="58"/>
      <c r="N23" s="58"/>
      <c r="O23" s="58" t="s">
        <v>368</v>
      </c>
      <c r="P23" s="58" t="s">
        <v>368</v>
      </c>
      <c r="Q23" s="56" t="s">
        <v>368</v>
      </c>
      <c r="R23" s="56"/>
      <c r="S23" s="56" t="s">
        <v>368</v>
      </c>
      <c r="T23" s="56" t="s">
        <v>368</v>
      </c>
      <c r="U23" s="56" t="s">
        <v>368</v>
      </c>
      <c r="V23" s="56"/>
      <c r="W23" s="56" t="s">
        <v>368</v>
      </c>
      <c r="X23" s="56" t="s">
        <v>368</v>
      </c>
      <c r="Y23" s="56" t="s">
        <v>368</v>
      </c>
      <c r="Z23" s="56" t="s">
        <v>368</v>
      </c>
      <c r="AA23" s="56" t="s">
        <v>368</v>
      </c>
      <c r="AB23" s="58" t="s">
        <v>368</v>
      </c>
      <c r="AC23" s="58" t="s">
        <v>368</v>
      </c>
      <c r="AD23" s="175" t="s">
        <v>368</v>
      </c>
      <c r="AE23" s="56" t="s">
        <v>368</v>
      </c>
      <c r="AF23" s="56"/>
      <c r="AG23" s="56"/>
      <c r="AH23" s="56" t="s">
        <v>368</v>
      </c>
      <c r="AI23" s="56"/>
      <c r="AJ23" s="56" t="s">
        <v>368</v>
      </c>
      <c r="AK23" s="56" t="s">
        <v>368</v>
      </c>
      <c r="AL23" s="56" t="s">
        <v>368</v>
      </c>
      <c r="AM23" s="56"/>
      <c r="AN23" s="56"/>
      <c r="AO23" s="56" t="s">
        <v>368</v>
      </c>
      <c r="AP23" s="58"/>
      <c r="AQ23" s="56" t="s">
        <v>368</v>
      </c>
      <c r="AR23" s="56"/>
      <c r="AS23" s="56"/>
      <c r="AT23" s="13" t="s">
        <v>643</v>
      </c>
      <c r="AU23" s="13"/>
      <c r="AV23" s="13"/>
      <c r="AW23" s="57"/>
      <c r="AX23" s="16"/>
      <c r="AY23" s="16"/>
      <c r="AZ23" s="20"/>
      <c r="BA23" s="191" t="s">
        <v>370</v>
      </c>
      <c r="BB23" s="176" t="s">
        <v>370</v>
      </c>
      <c r="BC23" s="190" t="s">
        <v>370</v>
      </c>
      <c r="BD23" s="190" t="s">
        <v>370</v>
      </c>
      <c r="BE23" s="168"/>
      <c r="BF23" s="169"/>
      <c r="BG23" s="170"/>
      <c r="BH23" s="170"/>
      <c r="BI23" s="170"/>
      <c r="BJ23" s="170"/>
    </row>
    <row r="24" spans="1:62" ht="25.15" customHeight="1">
      <c r="A24" s="13">
        <f t="shared" si="3"/>
        <v>21</v>
      </c>
      <c r="B24" s="132" t="s">
        <v>484</v>
      </c>
      <c r="C24" s="132" t="s">
        <v>672</v>
      </c>
      <c r="D24" s="132" t="s">
        <v>367</v>
      </c>
      <c r="E24" s="132" t="s">
        <v>300</v>
      </c>
      <c r="F24" s="133" t="s">
        <v>301</v>
      </c>
      <c r="G24" s="135" t="s">
        <v>302</v>
      </c>
      <c r="H24" s="131" t="s">
        <v>255</v>
      </c>
      <c r="I24" s="58"/>
      <c r="J24" s="58"/>
      <c r="K24" s="58"/>
      <c r="L24" s="58"/>
      <c r="M24" s="58"/>
      <c r="N24" s="58"/>
      <c r="O24" s="58" t="s">
        <v>368</v>
      </c>
      <c r="P24" s="58" t="s">
        <v>368</v>
      </c>
      <c r="Q24" s="56" t="s">
        <v>368</v>
      </c>
      <c r="R24" s="56"/>
      <c r="S24" s="56" t="s">
        <v>368</v>
      </c>
      <c r="T24" s="56" t="s">
        <v>368</v>
      </c>
      <c r="U24" s="56" t="s">
        <v>368</v>
      </c>
      <c r="V24" s="56"/>
      <c r="W24" s="56" t="s">
        <v>368</v>
      </c>
      <c r="X24" s="56" t="s">
        <v>368</v>
      </c>
      <c r="Y24" s="56" t="s">
        <v>368</v>
      </c>
      <c r="Z24" s="56" t="s">
        <v>368</v>
      </c>
      <c r="AA24" s="56" t="s">
        <v>368</v>
      </c>
      <c r="AB24" s="58" t="s">
        <v>368</v>
      </c>
      <c r="AC24" s="58"/>
      <c r="AD24" s="175" t="s">
        <v>368</v>
      </c>
      <c r="AE24" s="56" t="s">
        <v>368</v>
      </c>
      <c r="AF24" s="56" t="s">
        <v>368</v>
      </c>
      <c r="AG24" s="56"/>
      <c r="AH24" s="56" t="s">
        <v>368</v>
      </c>
      <c r="AI24" s="56"/>
      <c r="AJ24" s="56" t="s">
        <v>368</v>
      </c>
      <c r="AK24" s="56" t="s">
        <v>368</v>
      </c>
      <c r="AL24" s="56" t="s">
        <v>368</v>
      </c>
      <c r="AM24" s="56"/>
      <c r="AN24" s="56"/>
      <c r="AO24" s="56" t="s">
        <v>368</v>
      </c>
      <c r="AP24" s="58" t="s">
        <v>368</v>
      </c>
      <c r="AQ24" s="56" t="s">
        <v>368</v>
      </c>
      <c r="AR24" s="56"/>
      <c r="AS24" s="56"/>
      <c r="AT24" s="13"/>
      <c r="AU24" s="13"/>
      <c r="AV24" s="13" t="s">
        <v>370</v>
      </c>
      <c r="AW24" s="57"/>
      <c r="AX24" s="16"/>
      <c r="AY24" s="16" t="s">
        <v>370</v>
      </c>
      <c r="AZ24" s="20" t="s">
        <v>370</v>
      </c>
      <c r="BA24" s="191" t="s">
        <v>370</v>
      </c>
      <c r="BB24" s="176" t="s">
        <v>370</v>
      </c>
      <c r="BC24" s="190" t="s">
        <v>370</v>
      </c>
      <c r="BD24" s="190" t="s">
        <v>370</v>
      </c>
      <c r="BE24" s="168"/>
      <c r="BF24" s="169"/>
      <c r="BG24" s="170"/>
      <c r="BH24" s="170"/>
      <c r="BI24" s="170" t="s">
        <v>370</v>
      </c>
      <c r="BJ24" s="170"/>
    </row>
    <row r="25" spans="1:62" ht="25.15" customHeight="1">
      <c r="A25" s="13">
        <f>Voyagers!A23+1</f>
        <v>43</v>
      </c>
      <c r="B25" s="132" t="s">
        <v>673</v>
      </c>
      <c r="C25" s="132" t="s">
        <v>504</v>
      </c>
      <c r="D25" s="132" t="s">
        <v>367</v>
      </c>
      <c r="E25" s="132" t="s">
        <v>164</v>
      </c>
      <c r="F25" s="133" t="s">
        <v>165</v>
      </c>
      <c r="G25" s="135" t="s">
        <v>166</v>
      </c>
      <c r="H25" s="131" t="s">
        <v>255</v>
      </c>
      <c r="I25" s="58"/>
      <c r="J25" s="58"/>
      <c r="K25" s="58"/>
      <c r="L25" s="58"/>
      <c r="M25" s="58"/>
      <c r="N25" s="58"/>
      <c r="O25" s="58" t="s">
        <v>368</v>
      </c>
      <c r="P25" s="58"/>
      <c r="Q25" s="56"/>
      <c r="R25" s="56"/>
      <c r="S25" s="84"/>
      <c r="T25" s="56"/>
      <c r="U25" s="56"/>
      <c r="V25" s="56"/>
      <c r="W25" s="56" t="s">
        <v>368</v>
      </c>
      <c r="X25" s="56" t="s">
        <v>368</v>
      </c>
      <c r="Y25" s="56"/>
      <c r="Z25" s="56"/>
      <c r="AA25" s="56"/>
      <c r="AB25" s="58"/>
      <c r="AC25" s="58"/>
      <c r="AD25" s="175"/>
      <c r="AE25" s="56"/>
      <c r="AF25" s="56"/>
      <c r="AG25" s="56"/>
      <c r="AH25" s="56"/>
      <c r="AI25" s="56"/>
      <c r="AJ25" s="56"/>
      <c r="AK25" s="56"/>
      <c r="AL25" s="56"/>
      <c r="AM25" s="56" t="s">
        <v>368</v>
      </c>
      <c r="AN25" s="56"/>
      <c r="AO25" s="56"/>
      <c r="AP25" s="58"/>
      <c r="AQ25" s="56"/>
      <c r="AR25" s="56" t="s">
        <v>368</v>
      </c>
      <c r="AS25" s="56"/>
      <c r="AT25" s="13"/>
      <c r="AU25" s="13"/>
      <c r="AV25" s="13" t="s">
        <v>370</v>
      </c>
      <c r="AW25" s="57"/>
      <c r="AX25" s="16" t="s">
        <v>370</v>
      </c>
      <c r="AY25" s="16" t="s">
        <v>370</v>
      </c>
      <c r="AZ25" s="20" t="s">
        <v>370</v>
      </c>
      <c r="BA25" s="191" t="s">
        <v>370</v>
      </c>
      <c r="BB25" s="173"/>
      <c r="BC25" s="167"/>
      <c r="BD25" s="167"/>
      <c r="BE25" s="168"/>
      <c r="BF25" s="169"/>
      <c r="BG25" s="170"/>
      <c r="BH25" s="170"/>
      <c r="BI25" s="170" t="s">
        <v>370</v>
      </c>
      <c r="BJ25" s="170" t="s">
        <v>370</v>
      </c>
    </row>
    <row r="26" spans="1:62" ht="25.15" customHeight="1">
      <c r="A26" s="13">
        <f t="shared" ref="A26:A76" si="4">A25+1</f>
        <v>44</v>
      </c>
      <c r="B26" s="132" t="s">
        <v>674</v>
      </c>
      <c r="C26" s="132" t="s">
        <v>413</v>
      </c>
      <c r="D26" s="132" t="s">
        <v>378</v>
      </c>
      <c r="E26" s="132" t="s">
        <v>303</v>
      </c>
      <c r="F26" s="133" t="s">
        <v>304</v>
      </c>
      <c r="G26" s="135" t="s">
        <v>305</v>
      </c>
      <c r="H26" s="131" t="s">
        <v>255</v>
      </c>
      <c r="I26" s="58"/>
      <c r="J26" s="58"/>
      <c r="K26" s="58"/>
      <c r="L26" s="58"/>
      <c r="M26" s="58"/>
      <c r="N26" s="58"/>
      <c r="O26" s="58" t="s">
        <v>368</v>
      </c>
      <c r="P26" s="58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8"/>
      <c r="AC26" s="58"/>
      <c r="AD26" s="175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/>
      <c r="AQ26" s="56"/>
      <c r="AR26" s="56"/>
      <c r="AS26" s="56"/>
      <c r="AT26" s="13"/>
      <c r="AU26" s="13"/>
      <c r="AV26" s="13"/>
      <c r="AW26" s="57"/>
      <c r="AX26" s="16"/>
      <c r="AY26" s="16"/>
      <c r="AZ26" s="17"/>
      <c r="BA26" s="17"/>
      <c r="BB26" s="173"/>
      <c r="BC26" s="167"/>
      <c r="BD26" s="167"/>
      <c r="BE26" s="168"/>
      <c r="BF26" s="169"/>
      <c r="BG26" s="170"/>
      <c r="BH26" s="170"/>
      <c r="BI26" s="170"/>
      <c r="BJ26" s="170"/>
    </row>
    <row r="27" spans="1:62" ht="25.15" customHeight="1">
      <c r="A27" s="13">
        <f t="shared" si="4"/>
        <v>45</v>
      </c>
      <c r="B27" s="132" t="s">
        <v>611</v>
      </c>
      <c r="C27" s="132" t="s">
        <v>675</v>
      </c>
      <c r="D27" s="132" t="s">
        <v>378</v>
      </c>
      <c r="E27" s="132" t="s">
        <v>306</v>
      </c>
      <c r="F27" s="133" t="s">
        <v>307</v>
      </c>
      <c r="G27" s="135"/>
      <c r="H27" s="131" t="s">
        <v>255</v>
      </c>
      <c r="I27" s="58"/>
      <c r="J27" s="58"/>
      <c r="K27" s="58"/>
      <c r="L27" s="58"/>
      <c r="M27" s="58"/>
      <c r="N27" s="58"/>
      <c r="O27" s="58" t="s">
        <v>368</v>
      </c>
      <c r="P27" s="58"/>
      <c r="Q27" s="56"/>
      <c r="R27" s="56"/>
      <c r="S27" s="166" t="s">
        <v>368</v>
      </c>
      <c r="T27" s="56" t="s">
        <v>368</v>
      </c>
      <c r="U27" s="56"/>
      <c r="V27" s="56" t="s">
        <v>368</v>
      </c>
      <c r="W27" s="56"/>
      <c r="X27" s="56"/>
      <c r="Y27" s="56" t="s">
        <v>368</v>
      </c>
      <c r="Z27" s="56" t="s">
        <v>368</v>
      </c>
      <c r="AA27" s="56"/>
      <c r="AB27" s="58" t="s">
        <v>368</v>
      </c>
      <c r="AC27" s="58"/>
      <c r="AD27" s="175"/>
      <c r="AE27" s="56" t="s">
        <v>368</v>
      </c>
      <c r="AF27" s="56"/>
      <c r="AG27" s="56"/>
      <c r="AH27" s="56"/>
      <c r="AI27" s="56"/>
      <c r="AJ27" s="56"/>
      <c r="AK27" s="56"/>
      <c r="AL27" s="56"/>
      <c r="AM27" s="56"/>
      <c r="AN27" s="56"/>
      <c r="AO27" s="56" t="s">
        <v>368</v>
      </c>
      <c r="AP27" s="58"/>
      <c r="AQ27" s="56" t="s">
        <v>368</v>
      </c>
      <c r="AR27" s="56"/>
      <c r="AS27" s="56"/>
      <c r="AT27" s="13"/>
      <c r="AU27" s="13"/>
      <c r="AV27" s="13" t="s">
        <v>370</v>
      </c>
      <c r="AW27" s="57" t="s">
        <v>370</v>
      </c>
      <c r="AX27" s="16" t="s">
        <v>370</v>
      </c>
      <c r="AY27" s="16" t="s">
        <v>370</v>
      </c>
      <c r="AZ27" s="16" t="s">
        <v>370</v>
      </c>
      <c r="BA27" s="16" t="s">
        <v>370</v>
      </c>
      <c r="BB27" s="176" t="s">
        <v>370</v>
      </c>
      <c r="BC27" s="167"/>
      <c r="BD27" s="167"/>
      <c r="BE27" s="168" t="s">
        <v>370</v>
      </c>
      <c r="BF27" s="169"/>
      <c r="BG27" s="170" t="s">
        <v>370</v>
      </c>
      <c r="BH27" s="170"/>
      <c r="BI27" s="170"/>
      <c r="BJ27" s="170"/>
    </row>
    <row r="28" spans="1:62" ht="25.15" customHeight="1">
      <c r="A28" s="13">
        <f t="shared" si="4"/>
        <v>46</v>
      </c>
      <c r="B28" s="132" t="s">
        <v>676</v>
      </c>
      <c r="C28" s="132" t="s">
        <v>413</v>
      </c>
      <c r="D28" s="132" t="s">
        <v>378</v>
      </c>
      <c r="E28" s="132" t="s">
        <v>308</v>
      </c>
      <c r="F28" s="133" t="s">
        <v>309</v>
      </c>
      <c r="G28" s="121" t="s">
        <v>310</v>
      </c>
      <c r="H28" s="131" t="s">
        <v>255</v>
      </c>
      <c r="I28" s="58"/>
      <c r="J28" s="58"/>
      <c r="K28" s="58"/>
      <c r="L28" s="58"/>
      <c r="M28" s="58"/>
      <c r="N28" s="58"/>
      <c r="O28" s="58" t="s">
        <v>368</v>
      </c>
      <c r="P28" s="58"/>
      <c r="Q28" s="56" t="s">
        <v>368</v>
      </c>
      <c r="R28" s="56"/>
      <c r="S28" s="56"/>
      <c r="T28" s="56" t="s">
        <v>368</v>
      </c>
      <c r="U28" s="56" t="s">
        <v>368</v>
      </c>
      <c r="V28" s="56"/>
      <c r="W28" s="56" t="s">
        <v>368</v>
      </c>
      <c r="X28" s="56" t="s">
        <v>368</v>
      </c>
      <c r="Y28" s="56" t="s">
        <v>368</v>
      </c>
      <c r="Z28" s="56" t="s">
        <v>368</v>
      </c>
      <c r="AA28" s="56" t="s">
        <v>368</v>
      </c>
      <c r="AB28" s="58" t="s">
        <v>368</v>
      </c>
      <c r="AC28" s="58" t="s">
        <v>368</v>
      </c>
      <c r="AD28" s="175"/>
      <c r="AE28" s="56" t="s">
        <v>368</v>
      </c>
      <c r="AF28" s="56" t="s">
        <v>368</v>
      </c>
      <c r="AG28" s="56"/>
      <c r="AH28" s="56" t="s">
        <v>368</v>
      </c>
      <c r="AI28" s="56" t="s">
        <v>368</v>
      </c>
      <c r="AJ28" s="56" t="s">
        <v>368</v>
      </c>
      <c r="AK28" s="56"/>
      <c r="AL28" s="56"/>
      <c r="AM28" s="56"/>
      <c r="AN28" s="56"/>
      <c r="AO28" s="56"/>
      <c r="AP28" s="58"/>
      <c r="AQ28" s="56" t="s">
        <v>368</v>
      </c>
      <c r="AR28" s="56" t="s">
        <v>368</v>
      </c>
      <c r="AS28" s="56"/>
      <c r="AT28" s="13" t="s">
        <v>370</v>
      </c>
      <c r="AU28" s="13"/>
      <c r="AV28" s="13"/>
      <c r="AW28" s="57" t="s">
        <v>370</v>
      </c>
      <c r="AX28" s="16"/>
      <c r="AY28" s="16" t="s">
        <v>370</v>
      </c>
      <c r="AZ28" s="16" t="s">
        <v>370</v>
      </c>
      <c r="BA28" s="16" t="s">
        <v>370</v>
      </c>
      <c r="BB28" s="176" t="s">
        <v>370</v>
      </c>
      <c r="BC28" s="190" t="s">
        <v>370</v>
      </c>
      <c r="BD28" s="167" t="s">
        <v>370</v>
      </c>
      <c r="BE28" s="168"/>
      <c r="BF28" s="169"/>
      <c r="BG28" s="170"/>
      <c r="BH28" s="170"/>
      <c r="BI28" s="170"/>
      <c r="BJ28" s="170" t="s">
        <v>370</v>
      </c>
    </row>
    <row r="29" spans="1:62" ht="25.15" customHeight="1">
      <c r="A29" s="13">
        <f t="shared" si="4"/>
        <v>47</v>
      </c>
      <c r="B29" s="132" t="s">
        <v>677</v>
      </c>
      <c r="C29" s="132" t="s">
        <v>603</v>
      </c>
      <c r="D29" s="132" t="s">
        <v>378</v>
      </c>
      <c r="E29" s="132" t="s">
        <v>222</v>
      </c>
      <c r="F29" s="136" t="s">
        <v>311</v>
      </c>
      <c r="G29" s="135" t="s">
        <v>224</v>
      </c>
      <c r="H29" s="131" t="s">
        <v>255</v>
      </c>
      <c r="I29" s="58"/>
      <c r="J29" s="58"/>
      <c r="K29" s="58"/>
      <c r="L29" s="58"/>
      <c r="M29" s="58"/>
      <c r="N29" s="58"/>
      <c r="O29" s="58" t="s">
        <v>368</v>
      </c>
      <c r="P29" s="58"/>
      <c r="Q29" s="56"/>
      <c r="R29" s="56"/>
      <c r="S29" s="56" t="s">
        <v>368</v>
      </c>
      <c r="T29" s="56"/>
      <c r="U29" s="56"/>
      <c r="V29" s="56"/>
      <c r="W29" s="56"/>
      <c r="X29" s="56"/>
      <c r="Y29" s="56"/>
      <c r="Z29" s="56"/>
      <c r="AA29" s="56"/>
      <c r="AB29" s="58"/>
      <c r="AC29" s="58"/>
      <c r="AD29" s="175"/>
      <c r="AE29" s="56"/>
      <c r="AF29" s="56"/>
      <c r="AG29" s="56"/>
      <c r="AH29" s="56"/>
      <c r="AI29" s="56" t="s">
        <v>369</v>
      </c>
      <c r="AJ29" s="56"/>
      <c r="AK29" s="56"/>
      <c r="AL29" s="56"/>
      <c r="AM29" s="56" t="s">
        <v>368</v>
      </c>
      <c r="AN29" s="56"/>
      <c r="AO29" s="56" t="s">
        <v>368</v>
      </c>
      <c r="AP29" s="58"/>
      <c r="AQ29" s="56"/>
      <c r="AR29" s="56"/>
      <c r="AS29" s="56"/>
      <c r="AT29" s="13"/>
      <c r="AU29" s="13"/>
      <c r="AV29" s="13"/>
      <c r="AW29" s="57"/>
      <c r="AX29" s="16"/>
      <c r="AY29" s="16"/>
      <c r="AZ29" s="16"/>
      <c r="BA29" s="16"/>
      <c r="BB29" s="173"/>
      <c r="BC29" s="167"/>
      <c r="BD29" s="167"/>
      <c r="BE29" s="168"/>
      <c r="BF29" s="169"/>
      <c r="BG29" s="170"/>
      <c r="BH29" s="170"/>
      <c r="BI29" s="170"/>
      <c r="BJ29" s="170"/>
    </row>
    <row r="30" spans="1:62" ht="25.15" customHeight="1">
      <c r="A30" s="13">
        <f t="shared" si="4"/>
        <v>48</v>
      </c>
      <c r="B30" s="132" t="s">
        <v>678</v>
      </c>
      <c r="C30" s="132" t="s">
        <v>413</v>
      </c>
      <c r="D30" s="132" t="s">
        <v>378</v>
      </c>
      <c r="E30" s="132" t="s">
        <v>312</v>
      </c>
      <c r="F30" s="133" t="s">
        <v>313</v>
      </c>
      <c r="G30" s="121"/>
      <c r="H30" s="131" t="s">
        <v>255</v>
      </c>
      <c r="I30" s="58"/>
      <c r="J30" s="58"/>
      <c r="K30" s="58"/>
      <c r="L30" s="58"/>
      <c r="M30" s="58"/>
      <c r="N30" s="58"/>
      <c r="O30" s="58" t="s">
        <v>368</v>
      </c>
      <c r="P30" s="58"/>
      <c r="Q30" s="56"/>
      <c r="R30" s="56"/>
      <c r="S30" s="56"/>
      <c r="T30" s="56"/>
      <c r="U30" s="56" t="s">
        <v>368</v>
      </c>
      <c r="V30" s="56"/>
      <c r="W30" s="56" t="s">
        <v>368</v>
      </c>
      <c r="X30" s="56"/>
      <c r="Y30" s="56" t="s">
        <v>368</v>
      </c>
      <c r="Z30" s="56"/>
      <c r="AA30" s="56"/>
      <c r="AB30" s="58"/>
      <c r="AC30" s="58" t="s">
        <v>368</v>
      </c>
      <c r="AD30" s="175"/>
      <c r="AE30" s="56"/>
      <c r="AF30" s="56"/>
      <c r="AG30" s="56"/>
      <c r="AH30" s="56"/>
      <c r="AI30" s="56"/>
      <c r="AJ30" s="56" t="s">
        <v>368</v>
      </c>
      <c r="AK30" s="56"/>
      <c r="AL30" s="56"/>
      <c r="AM30" s="56"/>
      <c r="AN30" s="56"/>
      <c r="AO30" s="56"/>
      <c r="AP30" s="58"/>
      <c r="AQ30" s="56" t="s">
        <v>368</v>
      </c>
      <c r="AR30" s="56"/>
      <c r="AS30" s="56"/>
      <c r="AT30" s="13"/>
      <c r="AU30" s="13" t="s">
        <v>370</v>
      </c>
      <c r="AV30" s="13"/>
      <c r="AW30" s="57"/>
      <c r="AX30" s="16"/>
      <c r="AY30" s="16"/>
      <c r="AZ30" s="16"/>
      <c r="BA30" s="16"/>
      <c r="BB30" s="176"/>
      <c r="BC30" s="167"/>
      <c r="BD30" s="167"/>
      <c r="BE30" s="168"/>
      <c r="BF30" s="169"/>
      <c r="BG30" s="170"/>
      <c r="BH30" s="170"/>
      <c r="BI30" s="170"/>
      <c r="BJ30" s="170"/>
    </row>
    <row r="31" spans="1:62" ht="25.15" customHeight="1">
      <c r="A31" s="13">
        <f t="shared" si="4"/>
        <v>49</v>
      </c>
      <c r="B31" s="132" t="s">
        <v>679</v>
      </c>
      <c r="C31" s="132" t="s">
        <v>428</v>
      </c>
      <c r="D31" s="132" t="s">
        <v>367</v>
      </c>
      <c r="E31" s="132" t="s">
        <v>314</v>
      </c>
      <c r="F31" s="133" t="s">
        <v>315</v>
      </c>
      <c r="G31" s="135" t="s">
        <v>316</v>
      </c>
      <c r="H31" s="131" t="s">
        <v>255</v>
      </c>
      <c r="I31" s="58"/>
      <c r="J31" s="58"/>
      <c r="K31" s="58"/>
      <c r="L31" s="58"/>
      <c r="M31" s="58"/>
      <c r="N31" s="58"/>
      <c r="O31" s="58" t="s">
        <v>368</v>
      </c>
      <c r="P31" s="58"/>
      <c r="Q31" s="56" t="s">
        <v>368</v>
      </c>
      <c r="R31" s="56"/>
      <c r="S31" s="56"/>
      <c r="T31" s="56"/>
      <c r="U31" s="56"/>
      <c r="V31" s="56"/>
      <c r="W31" s="56"/>
      <c r="X31" s="56" t="s">
        <v>368</v>
      </c>
      <c r="Y31" s="56" t="s">
        <v>368</v>
      </c>
      <c r="Z31" s="56"/>
      <c r="AA31" s="56"/>
      <c r="AB31" s="58"/>
      <c r="AC31" s="58"/>
      <c r="AD31" s="175"/>
      <c r="AE31" s="56"/>
      <c r="AF31" s="56"/>
      <c r="AG31" s="56"/>
      <c r="AH31" s="56"/>
      <c r="AI31" s="56"/>
      <c r="AJ31" s="56"/>
      <c r="AK31" s="56" t="s">
        <v>368</v>
      </c>
      <c r="AL31" s="56"/>
      <c r="AM31" s="56"/>
      <c r="AN31" s="56"/>
      <c r="AO31" s="56"/>
      <c r="AP31" s="58"/>
      <c r="AQ31" s="56"/>
      <c r="AR31" s="56"/>
      <c r="AS31" s="56"/>
      <c r="AT31" s="13"/>
      <c r="AU31" s="13"/>
      <c r="AV31" s="13" t="s">
        <v>370</v>
      </c>
      <c r="AW31" s="57"/>
      <c r="AX31" s="16"/>
      <c r="AY31" s="16"/>
      <c r="AZ31" s="16"/>
      <c r="BA31" s="16"/>
      <c r="BB31" s="173"/>
      <c r="BC31" s="167"/>
      <c r="BD31" s="167"/>
      <c r="BE31" s="168"/>
      <c r="BF31" s="169" t="s">
        <v>370</v>
      </c>
      <c r="BG31" s="170"/>
      <c r="BH31" s="170"/>
      <c r="BI31" s="170" t="s">
        <v>370</v>
      </c>
      <c r="BJ31" s="170"/>
    </row>
    <row r="32" spans="1:62" ht="25.15" customHeight="1">
      <c r="A32" s="13">
        <f t="shared" si="4"/>
        <v>50</v>
      </c>
      <c r="B32" s="132" t="s">
        <v>680</v>
      </c>
      <c r="C32" s="132" t="s">
        <v>595</v>
      </c>
      <c r="D32" s="132" t="s">
        <v>378</v>
      </c>
      <c r="E32" s="132" t="s">
        <v>210</v>
      </c>
      <c r="F32" s="133" t="s">
        <v>211</v>
      </c>
      <c r="G32" s="135" t="s">
        <v>212</v>
      </c>
      <c r="H32" s="131" t="s">
        <v>255</v>
      </c>
      <c r="I32" s="58"/>
      <c r="J32" s="58"/>
      <c r="K32" s="58"/>
      <c r="L32" s="58"/>
      <c r="M32" s="58"/>
      <c r="N32" s="58"/>
      <c r="O32" s="58"/>
      <c r="P32" s="58" t="s">
        <v>368</v>
      </c>
      <c r="Q32" s="56" t="s">
        <v>368</v>
      </c>
      <c r="R32" s="56"/>
      <c r="S32" s="56" t="s">
        <v>368</v>
      </c>
      <c r="T32" s="56" t="s">
        <v>368</v>
      </c>
      <c r="U32" s="56" t="s">
        <v>368</v>
      </c>
      <c r="V32" s="56"/>
      <c r="W32" s="56"/>
      <c r="X32" s="56"/>
      <c r="Y32" s="56"/>
      <c r="Z32" s="56"/>
      <c r="AA32" s="56"/>
      <c r="AB32" s="58"/>
      <c r="AC32" s="58"/>
      <c r="AD32" s="175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/>
      <c r="AQ32" s="56"/>
      <c r="AR32" s="56"/>
      <c r="AS32" s="56"/>
      <c r="AT32" s="13"/>
      <c r="AU32" s="13"/>
      <c r="AV32" s="13"/>
      <c r="AW32" s="57"/>
      <c r="AX32" s="16"/>
      <c r="AY32" s="16"/>
      <c r="AZ32" s="16"/>
      <c r="BA32" s="16"/>
      <c r="BB32" s="173"/>
      <c r="BC32" s="167"/>
      <c r="BD32" s="167"/>
      <c r="BE32" s="168"/>
      <c r="BF32" s="169"/>
      <c r="BG32" s="170"/>
      <c r="BH32" s="170"/>
      <c r="BI32" s="170"/>
      <c r="BJ32" s="170"/>
    </row>
    <row r="33" spans="1:62" ht="25.15" customHeight="1">
      <c r="A33" s="13">
        <f t="shared" si="4"/>
        <v>51</v>
      </c>
      <c r="B33" s="132" t="s">
        <v>681</v>
      </c>
      <c r="C33" s="132" t="s">
        <v>682</v>
      </c>
      <c r="D33" s="132" t="s">
        <v>378</v>
      </c>
      <c r="E33" s="132" t="s">
        <v>317</v>
      </c>
      <c r="F33" s="132" t="s">
        <v>318</v>
      </c>
      <c r="G33" s="135" t="s">
        <v>319</v>
      </c>
      <c r="H33" s="131" t="s">
        <v>255</v>
      </c>
      <c r="I33" s="58"/>
      <c r="J33" s="58"/>
      <c r="K33" s="58"/>
      <c r="L33" s="58"/>
      <c r="M33" s="58"/>
      <c r="N33" s="58"/>
      <c r="O33" s="58"/>
      <c r="P33" s="58" t="s">
        <v>368</v>
      </c>
      <c r="Q33" s="56" t="s">
        <v>368</v>
      </c>
      <c r="R33" s="56"/>
      <c r="S33" s="56"/>
      <c r="T33" s="56"/>
      <c r="U33" s="56"/>
      <c r="V33" s="56"/>
      <c r="W33" s="56"/>
      <c r="X33" s="56" t="s">
        <v>368</v>
      </c>
      <c r="Y33" s="56"/>
      <c r="Z33" s="56"/>
      <c r="AA33" s="56" t="s">
        <v>368</v>
      </c>
      <c r="AB33" s="58"/>
      <c r="AC33" s="58" t="s">
        <v>368</v>
      </c>
      <c r="AD33" s="175" t="s">
        <v>368</v>
      </c>
      <c r="AE33" s="56"/>
      <c r="AF33" s="56"/>
      <c r="AG33" s="56"/>
      <c r="AH33" s="56"/>
      <c r="AI33" s="56"/>
      <c r="AJ33" s="56"/>
      <c r="AK33" s="56"/>
      <c r="AL33" s="56"/>
      <c r="AM33" s="56" t="s">
        <v>368</v>
      </c>
      <c r="AN33" s="56"/>
      <c r="AO33" s="56"/>
      <c r="AP33" s="58"/>
      <c r="AQ33" s="56"/>
      <c r="AR33" s="56" t="s">
        <v>368</v>
      </c>
      <c r="AS33" s="56"/>
      <c r="AT33" s="13"/>
      <c r="AU33" s="13"/>
      <c r="AV33" s="13"/>
      <c r="AW33" s="57"/>
      <c r="AX33" s="16"/>
      <c r="AY33" s="16"/>
      <c r="AZ33" s="16"/>
      <c r="BA33" s="16"/>
      <c r="BB33" s="173"/>
      <c r="BC33" s="167"/>
      <c r="BD33" s="167"/>
      <c r="BE33" s="168"/>
      <c r="BF33" s="169"/>
      <c r="BG33" s="170"/>
      <c r="BH33" s="170"/>
      <c r="BI33" s="170"/>
      <c r="BJ33" s="170"/>
    </row>
    <row r="34" spans="1:62" ht="25.15" customHeight="1">
      <c r="A34" s="13">
        <f t="shared" si="4"/>
        <v>52</v>
      </c>
      <c r="B34" s="132" t="s">
        <v>683</v>
      </c>
      <c r="C34" s="132" t="s">
        <v>682</v>
      </c>
      <c r="D34" s="132" t="s">
        <v>367</v>
      </c>
      <c r="E34" s="132" t="s">
        <v>317</v>
      </c>
      <c r="F34" s="132" t="s">
        <v>318</v>
      </c>
      <c r="G34" s="135" t="s">
        <v>319</v>
      </c>
      <c r="H34" s="131" t="s">
        <v>255</v>
      </c>
      <c r="I34" s="58"/>
      <c r="J34" s="58"/>
      <c r="K34" s="58"/>
      <c r="L34" s="58"/>
      <c r="M34" s="58"/>
      <c r="N34" s="58"/>
      <c r="O34" s="58"/>
      <c r="P34" s="58" t="s">
        <v>368</v>
      </c>
      <c r="Q34" s="56"/>
      <c r="R34" s="56"/>
      <c r="S34" s="56"/>
      <c r="T34" s="56"/>
      <c r="U34" s="56"/>
      <c r="V34" s="56"/>
      <c r="W34" s="56"/>
      <c r="X34" s="56" t="s">
        <v>368</v>
      </c>
      <c r="Y34" s="56"/>
      <c r="Z34" s="56"/>
      <c r="AA34" s="56" t="s">
        <v>368</v>
      </c>
      <c r="AB34" s="58"/>
      <c r="AC34" s="58"/>
      <c r="AD34" s="175"/>
      <c r="AE34" s="56"/>
      <c r="AF34" s="56"/>
      <c r="AG34" s="56"/>
      <c r="AH34" s="56"/>
      <c r="AI34" s="56"/>
      <c r="AJ34" s="56"/>
      <c r="AK34" s="56"/>
      <c r="AL34" s="56"/>
      <c r="AM34" s="56" t="s">
        <v>368</v>
      </c>
      <c r="AN34" s="56"/>
      <c r="AO34" s="56"/>
      <c r="AP34" s="58"/>
      <c r="AQ34" s="56"/>
      <c r="AR34" s="56" t="s">
        <v>368</v>
      </c>
      <c r="AS34" s="56"/>
      <c r="AT34" s="13"/>
      <c r="AU34" s="13"/>
      <c r="AV34" s="13"/>
      <c r="AW34" s="57"/>
      <c r="AX34" s="16"/>
      <c r="AY34" s="16"/>
      <c r="AZ34" s="16"/>
      <c r="BA34" s="16"/>
      <c r="BB34" s="173"/>
      <c r="BC34" s="167"/>
      <c r="BD34" s="167"/>
      <c r="BE34" s="168"/>
      <c r="BF34" s="169"/>
      <c r="BG34" s="170"/>
      <c r="BH34" s="170"/>
      <c r="BI34" s="170"/>
      <c r="BJ34" s="170"/>
    </row>
    <row r="35" spans="1:62" ht="25.15" customHeight="1">
      <c r="A35" s="13">
        <f t="shared" si="4"/>
        <v>53</v>
      </c>
      <c r="B35" s="132" t="s">
        <v>450</v>
      </c>
      <c r="C35" s="132" t="s">
        <v>684</v>
      </c>
      <c r="D35" s="132" t="s">
        <v>378</v>
      </c>
      <c r="E35" s="132"/>
      <c r="F35" s="132"/>
      <c r="G35" s="121"/>
      <c r="H35" s="131" t="s">
        <v>255</v>
      </c>
      <c r="I35" s="58"/>
      <c r="J35" s="58"/>
      <c r="K35" s="58"/>
      <c r="L35" s="58"/>
      <c r="M35" s="58"/>
      <c r="N35" s="58"/>
      <c r="O35" s="58"/>
      <c r="P35" s="58" t="s">
        <v>368</v>
      </c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8"/>
      <c r="AC35" s="58"/>
      <c r="AD35" s="175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/>
      <c r="AQ35" s="56"/>
      <c r="AR35" s="56"/>
      <c r="AS35" s="56"/>
      <c r="AT35" s="13"/>
      <c r="AU35" s="13"/>
      <c r="AV35" s="13"/>
      <c r="AW35" s="57"/>
      <c r="AX35" s="16"/>
      <c r="AY35" s="16"/>
      <c r="AZ35" s="16"/>
      <c r="BA35" s="16"/>
      <c r="BB35" s="173"/>
      <c r="BC35" s="167"/>
      <c r="BD35" s="167"/>
      <c r="BE35" s="168"/>
      <c r="BF35" s="169"/>
      <c r="BG35" s="170"/>
      <c r="BH35" s="170"/>
      <c r="BI35" s="170"/>
      <c r="BJ35" s="170"/>
    </row>
    <row r="36" spans="1:62" ht="25.15" customHeight="1">
      <c r="A36" s="13">
        <f t="shared" si="4"/>
        <v>54</v>
      </c>
      <c r="B36" s="132" t="s">
        <v>685</v>
      </c>
      <c r="C36" s="132" t="s">
        <v>686</v>
      </c>
      <c r="D36" s="132" t="s">
        <v>367</v>
      </c>
      <c r="E36" s="132" t="s">
        <v>320</v>
      </c>
      <c r="F36" s="133" t="s">
        <v>321</v>
      </c>
      <c r="G36" s="135" t="s">
        <v>54</v>
      </c>
      <c r="H36" s="131" t="s">
        <v>255</v>
      </c>
      <c r="I36" s="83"/>
      <c r="J36" s="83"/>
      <c r="K36" s="83"/>
      <c r="L36" s="83"/>
      <c r="M36" s="83"/>
      <c r="N36" s="83"/>
      <c r="O36" s="83"/>
      <c r="P36" s="83"/>
      <c r="Q36" s="84" t="s">
        <v>368</v>
      </c>
      <c r="R36" s="56"/>
      <c r="S36" s="56" t="s">
        <v>368</v>
      </c>
      <c r="T36" s="56"/>
      <c r="U36" s="56"/>
      <c r="V36" s="56"/>
      <c r="W36" s="56"/>
      <c r="X36" s="56"/>
      <c r="Y36" s="56"/>
      <c r="Z36" s="56"/>
      <c r="AA36" s="56"/>
      <c r="AB36" s="58"/>
      <c r="AC36" s="58"/>
      <c r="AD36" s="175"/>
      <c r="AE36" s="56"/>
      <c r="AF36" s="56"/>
      <c r="AG36" s="56"/>
      <c r="AH36" s="56"/>
      <c r="AI36" s="56"/>
      <c r="AJ36" s="56"/>
      <c r="AK36" s="56" t="s">
        <v>368</v>
      </c>
      <c r="AL36" s="56"/>
      <c r="AM36" s="56"/>
      <c r="AN36" s="56"/>
      <c r="AO36" s="56" t="s">
        <v>687</v>
      </c>
      <c r="AP36" s="58"/>
      <c r="AQ36" s="56"/>
      <c r="AR36" s="56"/>
      <c r="AS36" s="56"/>
      <c r="AT36" s="13"/>
      <c r="AU36" s="13" t="s">
        <v>370</v>
      </c>
      <c r="AV36" s="13"/>
      <c r="AW36" s="57"/>
      <c r="AX36" s="16"/>
      <c r="AY36" s="16"/>
      <c r="AZ36" s="16"/>
      <c r="BA36" s="16"/>
      <c r="BB36" s="173"/>
      <c r="BC36" s="167"/>
      <c r="BD36" s="167"/>
      <c r="BE36" s="168"/>
      <c r="BF36" s="169"/>
      <c r="BG36" s="170"/>
      <c r="BH36" s="170"/>
      <c r="BI36" s="170"/>
      <c r="BJ36" s="170"/>
    </row>
    <row r="37" spans="1:62" ht="25.15" customHeight="1">
      <c r="A37" s="13">
        <f t="shared" si="4"/>
        <v>55</v>
      </c>
      <c r="B37" s="132" t="s">
        <v>688</v>
      </c>
      <c r="C37" s="132" t="s">
        <v>686</v>
      </c>
      <c r="D37" s="132" t="s">
        <v>378</v>
      </c>
      <c r="E37" s="132" t="s">
        <v>320</v>
      </c>
      <c r="F37" s="133" t="s">
        <v>321</v>
      </c>
      <c r="G37" s="135" t="s">
        <v>54</v>
      </c>
      <c r="H37" s="131" t="s">
        <v>255</v>
      </c>
      <c r="I37" s="58"/>
      <c r="J37" s="58"/>
      <c r="K37" s="58"/>
      <c r="L37" s="58"/>
      <c r="M37" s="58"/>
      <c r="N37" s="58"/>
      <c r="O37" s="58"/>
      <c r="P37" s="58"/>
      <c r="Q37" s="84" t="s">
        <v>368</v>
      </c>
      <c r="R37" s="56"/>
      <c r="S37" s="56" t="s">
        <v>368</v>
      </c>
      <c r="T37" s="56"/>
      <c r="U37" s="56"/>
      <c r="V37" s="56"/>
      <c r="W37" s="56"/>
      <c r="X37" s="56"/>
      <c r="Y37" s="56"/>
      <c r="Z37" s="56"/>
      <c r="AA37" s="56"/>
      <c r="AB37" s="58"/>
      <c r="AC37" s="58"/>
      <c r="AD37" s="175"/>
      <c r="AE37" s="56"/>
      <c r="AF37" s="56"/>
      <c r="AG37" s="56"/>
      <c r="AH37" s="56"/>
      <c r="AI37" s="56"/>
      <c r="AJ37" s="56"/>
      <c r="AK37" s="56" t="s">
        <v>368</v>
      </c>
      <c r="AL37" s="56"/>
      <c r="AM37" s="56"/>
      <c r="AN37" s="56"/>
      <c r="AO37" s="56" t="s">
        <v>368</v>
      </c>
      <c r="AP37" s="58"/>
      <c r="AQ37" s="56"/>
      <c r="AR37" s="56"/>
      <c r="AS37" s="56"/>
      <c r="AT37" s="13" t="s">
        <v>370</v>
      </c>
      <c r="AU37" s="13" t="s">
        <v>370</v>
      </c>
      <c r="AV37" s="13"/>
      <c r="AW37" s="57"/>
      <c r="AX37" s="16"/>
      <c r="AY37" s="16"/>
      <c r="AZ37" s="16"/>
      <c r="BA37" s="16"/>
      <c r="BB37" s="173"/>
      <c r="BC37" s="167"/>
      <c r="BD37" s="167"/>
      <c r="BE37" s="168"/>
      <c r="BF37" s="169"/>
      <c r="BG37" s="170" t="s">
        <v>370</v>
      </c>
      <c r="BH37" s="170"/>
      <c r="BI37" s="170"/>
      <c r="BJ37" s="170"/>
    </row>
    <row r="38" spans="1:62" ht="25.15" customHeight="1">
      <c r="A38" s="13">
        <f t="shared" si="4"/>
        <v>56</v>
      </c>
      <c r="B38" s="116" t="s">
        <v>689</v>
      </c>
      <c r="C38" s="116" t="s">
        <v>690</v>
      </c>
      <c r="D38" s="116" t="s">
        <v>373</v>
      </c>
      <c r="E38" s="116" t="s">
        <v>322</v>
      </c>
      <c r="F38" s="122" t="s">
        <v>323</v>
      </c>
      <c r="G38" s="121" t="s">
        <v>324</v>
      </c>
      <c r="H38" s="138" t="s">
        <v>255</v>
      </c>
      <c r="I38" s="179" t="s">
        <v>368</v>
      </c>
      <c r="J38" s="179"/>
      <c r="K38" s="179"/>
      <c r="L38" s="179"/>
      <c r="M38" s="179"/>
      <c r="N38" s="181" t="s">
        <v>368</v>
      </c>
      <c r="O38" s="192" t="s">
        <v>368</v>
      </c>
      <c r="P38" s="192"/>
      <c r="Q38" s="192" t="s">
        <v>368</v>
      </c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8"/>
      <c r="AC38" s="58"/>
      <c r="AD38" s="175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/>
      <c r="AQ38" s="56"/>
      <c r="AR38" s="56"/>
      <c r="AS38" s="56"/>
      <c r="AT38" s="13"/>
      <c r="AU38" s="13"/>
      <c r="AV38" s="13"/>
      <c r="AW38" s="57"/>
      <c r="AX38" s="16"/>
      <c r="AY38" s="16"/>
      <c r="AZ38" s="16"/>
      <c r="BA38" s="16"/>
      <c r="BB38" s="173"/>
      <c r="BC38" s="167"/>
      <c r="BD38" s="167"/>
      <c r="BE38" s="168"/>
      <c r="BF38" s="169"/>
      <c r="BG38" s="170"/>
      <c r="BH38" s="170" t="s">
        <v>370</v>
      </c>
      <c r="BI38" s="170" t="s">
        <v>370</v>
      </c>
      <c r="BJ38" s="170" t="s">
        <v>370</v>
      </c>
    </row>
    <row r="39" spans="1:62" ht="25.15" customHeight="1">
      <c r="A39" s="13">
        <f t="shared" si="4"/>
        <v>57</v>
      </c>
      <c r="B39" s="132" t="s">
        <v>691</v>
      </c>
      <c r="C39" s="132" t="s">
        <v>578</v>
      </c>
      <c r="D39" s="132" t="s">
        <v>378</v>
      </c>
      <c r="E39" s="132" t="s">
        <v>325</v>
      </c>
      <c r="F39" s="193" t="s">
        <v>326</v>
      </c>
      <c r="G39" s="121" t="s">
        <v>327</v>
      </c>
      <c r="H39" s="131" t="s">
        <v>255</v>
      </c>
      <c r="I39" s="194"/>
      <c r="J39" s="194"/>
      <c r="K39" s="194"/>
      <c r="L39" s="194"/>
      <c r="M39" s="194"/>
      <c r="N39" s="194"/>
      <c r="O39" s="194"/>
      <c r="P39" s="195"/>
      <c r="Q39" s="58"/>
      <c r="R39" s="58"/>
      <c r="S39" s="56" t="s">
        <v>368</v>
      </c>
      <c r="T39" s="56"/>
      <c r="U39" s="56"/>
      <c r="V39" s="56"/>
      <c r="W39" s="56"/>
      <c r="X39" s="56"/>
      <c r="Y39" s="56"/>
      <c r="Z39" s="56"/>
      <c r="AA39" s="56"/>
      <c r="AB39" s="58"/>
      <c r="AC39" s="58"/>
      <c r="AD39" s="175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/>
      <c r="AQ39" s="56"/>
      <c r="AR39" s="56"/>
      <c r="AS39" s="56"/>
      <c r="AT39" s="13"/>
      <c r="AU39" s="13"/>
      <c r="AV39" s="13"/>
      <c r="AW39" s="57"/>
      <c r="AX39" s="16"/>
      <c r="AY39" s="16"/>
      <c r="AZ39" s="16"/>
      <c r="BA39" s="16"/>
      <c r="BB39" s="173"/>
      <c r="BC39" s="167"/>
      <c r="BD39" s="167"/>
      <c r="BE39" s="168"/>
      <c r="BF39" s="169"/>
      <c r="BG39" s="170"/>
      <c r="BH39" s="170"/>
      <c r="BI39" s="170"/>
      <c r="BJ39" s="170"/>
    </row>
    <row r="40" spans="1:62" ht="25.15" customHeight="1">
      <c r="A40" s="13">
        <f t="shared" si="4"/>
        <v>58</v>
      </c>
      <c r="B40" s="132" t="s">
        <v>692</v>
      </c>
      <c r="C40" s="132" t="s">
        <v>578</v>
      </c>
      <c r="D40" s="132" t="s">
        <v>367</v>
      </c>
      <c r="E40" s="132" t="s">
        <v>325</v>
      </c>
      <c r="F40" s="193" t="s">
        <v>326</v>
      </c>
      <c r="G40" s="121" t="s">
        <v>327</v>
      </c>
      <c r="H40" s="131" t="s">
        <v>255</v>
      </c>
      <c r="I40" s="47"/>
      <c r="J40" s="47"/>
      <c r="K40" s="47"/>
      <c r="L40" s="47"/>
      <c r="M40" s="47"/>
      <c r="N40" s="47"/>
      <c r="O40" s="47"/>
      <c r="P40" s="47"/>
      <c r="Q40" s="58"/>
      <c r="R40" s="58"/>
      <c r="S40" s="56" t="s">
        <v>368</v>
      </c>
      <c r="T40" s="56"/>
      <c r="U40" s="56"/>
      <c r="V40" s="56"/>
      <c r="W40" s="56"/>
      <c r="X40" s="56"/>
      <c r="Y40" s="56"/>
      <c r="Z40" s="56"/>
      <c r="AA40" s="56"/>
      <c r="AB40" s="58"/>
      <c r="AC40" s="58"/>
      <c r="AD40" s="175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/>
      <c r="AQ40" s="56"/>
      <c r="AR40" s="56"/>
      <c r="AS40" s="56"/>
      <c r="AT40" s="13"/>
      <c r="AU40" s="13"/>
      <c r="AV40" s="13"/>
      <c r="AW40" s="57"/>
      <c r="AX40" s="16"/>
      <c r="AY40" s="16"/>
      <c r="AZ40" s="16"/>
      <c r="BA40" s="16"/>
      <c r="BB40" s="173"/>
      <c r="BC40" s="167"/>
      <c r="BD40" s="167"/>
      <c r="BE40" s="168"/>
      <c r="BF40" s="169"/>
      <c r="BG40" s="170"/>
      <c r="BH40" s="170"/>
      <c r="BI40" s="170"/>
      <c r="BJ40" s="170"/>
    </row>
    <row r="41" spans="1:62" ht="25.15" customHeight="1">
      <c r="A41" s="13">
        <f t="shared" si="4"/>
        <v>59</v>
      </c>
      <c r="B41" s="132" t="s">
        <v>693</v>
      </c>
      <c r="C41" s="132" t="s">
        <v>694</v>
      </c>
      <c r="D41" s="132" t="s">
        <v>367</v>
      </c>
      <c r="E41" s="132" t="s">
        <v>328</v>
      </c>
      <c r="F41" s="136" t="s">
        <v>329</v>
      </c>
      <c r="G41" s="121" t="s">
        <v>330</v>
      </c>
      <c r="H41" s="131" t="s">
        <v>255</v>
      </c>
      <c r="I41" s="47"/>
      <c r="J41" s="47"/>
      <c r="K41" s="47"/>
      <c r="L41" s="47"/>
      <c r="M41" s="47"/>
      <c r="N41" s="47"/>
      <c r="O41" s="47"/>
      <c r="P41" s="47"/>
      <c r="Q41" s="58"/>
      <c r="R41" s="58"/>
      <c r="S41" s="56" t="s">
        <v>368</v>
      </c>
      <c r="T41" s="56"/>
      <c r="U41" s="56"/>
      <c r="V41" s="56" t="s">
        <v>368</v>
      </c>
      <c r="W41" s="56" t="s">
        <v>368</v>
      </c>
      <c r="X41" s="56"/>
      <c r="Y41" s="56"/>
      <c r="Z41" s="56"/>
      <c r="AA41" s="56"/>
      <c r="AB41" s="58"/>
      <c r="AC41" s="58" t="s">
        <v>368</v>
      </c>
      <c r="AD41" s="175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/>
      <c r="AQ41" s="56"/>
      <c r="AR41" s="56"/>
      <c r="AS41" s="56"/>
      <c r="AT41" s="13"/>
      <c r="AU41" s="13"/>
      <c r="AV41" s="13"/>
      <c r="AW41" s="57"/>
      <c r="AX41" s="16"/>
      <c r="AY41" s="16"/>
      <c r="AZ41" s="16"/>
      <c r="BA41" s="16"/>
      <c r="BB41" s="173"/>
      <c r="BC41" s="167"/>
      <c r="BD41" s="167"/>
      <c r="BE41" s="168"/>
      <c r="BF41" s="169"/>
      <c r="BG41" s="170"/>
      <c r="BH41" s="170"/>
      <c r="BI41" s="170"/>
      <c r="BJ41" s="170"/>
    </row>
    <row r="42" spans="1:62" ht="25.15" customHeight="1">
      <c r="A42" s="13">
        <f t="shared" si="4"/>
        <v>60</v>
      </c>
      <c r="B42" s="132" t="s">
        <v>695</v>
      </c>
      <c r="C42" s="132" t="s">
        <v>694</v>
      </c>
      <c r="D42" s="132" t="s">
        <v>367</v>
      </c>
      <c r="E42" s="132" t="s">
        <v>328</v>
      </c>
      <c r="F42" s="136" t="s">
        <v>329</v>
      </c>
      <c r="G42" s="121" t="s">
        <v>330</v>
      </c>
      <c r="H42" s="131" t="s">
        <v>255</v>
      </c>
      <c r="I42" s="47"/>
      <c r="J42" s="47"/>
      <c r="K42" s="47"/>
      <c r="L42" s="47"/>
      <c r="M42" s="47"/>
      <c r="N42" s="47"/>
      <c r="O42" s="47"/>
      <c r="P42" s="47"/>
      <c r="Q42" s="58"/>
      <c r="R42" s="58"/>
      <c r="S42" s="56" t="s">
        <v>368</v>
      </c>
      <c r="T42" s="56"/>
      <c r="U42" s="56"/>
      <c r="V42" s="56" t="s">
        <v>368</v>
      </c>
      <c r="W42" s="56" t="s">
        <v>368</v>
      </c>
      <c r="X42" s="56"/>
      <c r="Y42" s="56"/>
      <c r="Z42" s="56"/>
      <c r="AA42" s="56"/>
      <c r="AB42" s="58"/>
      <c r="AC42" s="58" t="s">
        <v>368</v>
      </c>
      <c r="AD42" s="175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/>
      <c r="AQ42" s="56"/>
      <c r="AR42" s="56"/>
      <c r="AS42" s="56"/>
      <c r="AT42" s="13"/>
      <c r="AU42" s="13"/>
      <c r="AV42" s="13"/>
      <c r="AW42" s="57"/>
      <c r="AX42" s="16"/>
      <c r="AY42" s="16"/>
      <c r="AZ42" s="16"/>
      <c r="BA42" s="16"/>
      <c r="BB42" s="173"/>
      <c r="BC42" s="167"/>
      <c r="BD42" s="167"/>
      <c r="BE42" s="168"/>
      <c r="BF42" s="169"/>
      <c r="BG42" s="170"/>
      <c r="BH42" s="170"/>
      <c r="BI42" s="170"/>
      <c r="BJ42" s="170"/>
    </row>
    <row r="43" spans="1:62" ht="25.15" customHeight="1">
      <c r="A43" s="13">
        <f t="shared" si="4"/>
        <v>61</v>
      </c>
      <c r="B43" s="132" t="s">
        <v>696</v>
      </c>
      <c r="C43" s="132" t="s">
        <v>697</v>
      </c>
      <c r="D43" s="132" t="s">
        <v>367</v>
      </c>
      <c r="E43" s="133" t="s">
        <v>331</v>
      </c>
      <c r="F43" s="132"/>
      <c r="G43" s="121"/>
      <c r="H43" s="131" t="s">
        <v>255</v>
      </c>
      <c r="I43" s="47"/>
      <c r="J43" s="47"/>
      <c r="K43" s="47"/>
      <c r="L43" s="47"/>
      <c r="M43" s="47"/>
      <c r="N43" s="47"/>
      <c r="O43" s="47"/>
      <c r="P43" s="47"/>
      <c r="Q43" s="83"/>
      <c r="R43" s="83"/>
      <c r="S43" s="84" t="s">
        <v>368</v>
      </c>
      <c r="T43" s="84"/>
      <c r="U43" s="56"/>
      <c r="V43" s="56"/>
      <c r="W43" s="56"/>
      <c r="X43" s="56"/>
      <c r="Y43" s="56"/>
      <c r="Z43" s="56"/>
      <c r="AA43" s="56"/>
      <c r="AB43" s="58"/>
      <c r="AC43" s="58"/>
      <c r="AD43" s="175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/>
      <c r="AQ43" s="56"/>
      <c r="AR43" s="56"/>
      <c r="AS43" s="56"/>
      <c r="AT43" s="13"/>
      <c r="AU43" s="13"/>
      <c r="AV43" s="13"/>
      <c r="AW43" s="57"/>
      <c r="AX43" s="16"/>
      <c r="AY43" s="16"/>
      <c r="AZ43" s="16"/>
      <c r="BA43" s="16"/>
      <c r="BB43" s="173"/>
      <c r="BC43" s="167"/>
      <c r="BD43" s="167"/>
      <c r="BE43" s="168"/>
      <c r="BF43" s="169"/>
      <c r="BG43" s="170"/>
      <c r="BH43" s="170"/>
      <c r="BI43" s="170"/>
      <c r="BJ43" s="170"/>
    </row>
    <row r="44" spans="1:62" ht="25.15" customHeight="1">
      <c r="A44" s="13">
        <f t="shared" si="4"/>
        <v>62</v>
      </c>
      <c r="B44" s="132" t="s">
        <v>698</v>
      </c>
      <c r="C44" s="132" t="s">
        <v>496</v>
      </c>
      <c r="D44" s="132" t="s">
        <v>367</v>
      </c>
      <c r="E44" s="132" t="s">
        <v>334</v>
      </c>
      <c r="F44" s="136" t="s">
        <v>335</v>
      </c>
      <c r="G44" s="121" t="s">
        <v>336</v>
      </c>
      <c r="H44" s="131" t="s">
        <v>255</v>
      </c>
      <c r="I44" s="47"/>
      <c r="J44" s="47"/>
      <c r="K44" s="47"/>
      <c r="L44" s="47"/>
      <c r="M44" s="47"/>
      <c r="N44" s="47"/>
      <c r="O44" s="47"/>
      <c r="P44" s="47"/>
      <c r="Q44" s="58"/>
      <c r="R44" s="58"/>
      <c r="S44" s="58" t="s">
        <v>368</v>
      </c>
      <c r="T44" s="56"/>
      <c r="U44" s="84"/>
      <c r="V44" s="56"/>
      <c r="W44" s="56"/>
      <c r="X44" s="56"/>
      <c r="Y44" s="56"/>
      <c r="Z44" s="56"/>
      <c r="AA44" s="56"/>
      <c r="AB44" s="58"/>
      <c r="AC44" s="58" t="s">
        <v>368</v>
      </c>
      <c r="AD44" s="175"/>
      <c r="AE44" s="56"/>
      <c r="AF44" s="56"/>
      <c r="AG44" s="56"/>
      <c r="AH44" s="56"/>
      <c r="AI44" s="56"/>
      <c r="AJ44" s="56"/>
      <c r="AK44" s="56"/>
      <c r="AL44" s="56"/>
      <c r="AM44" s="56" t="s">
        <v>368</v>
      </c>
      <c r="AN44" s="56" t="s">
        <v>368</v>
      </c>
      <c r="AO44" s="56"/>
      <c r="AP44" s="58"/>
      <c r="AQ44" s="56"/>
      <c r="AR44" s="56"/>
      <c r="AS44" s="56"/>
      <c r="AT44" s="13"/>
      <c r="AU44" s="13"/>
      <c r="AV44" s="13" t="s">
        <v>370</v>
      </c>
      <c r="AW44" s="57"/>
      <c r="AX44" s="16" t="s">
        <v>370</v>
      </c>
      <c r="AY44" s="16"/>
      <c r="AZ44" s="16"/>
      <c r="BA44" s="16"/>
      <c r="BB44" s="173"/>
      <c r="BC44" s="167"/>
      <c r="BD44" s="167"/>
      <c r="BE44" s="168"/>
      <c r="BF44" s="169"/>
      <c r="BG44" s="170"/>
      <c r="BH44" s="170"/>
      <c r="BI44" s="170"/>
      <c r="BJ44" s="170"/>
    </row>
    <row r="45" spans="1:62" ht="25.15" customHeight="1">
      <c r="A45" s="13">
        <f t="shared" si="4"/>
        <v>63</v>
      </c>
      <c r="B45" s="132" t="s">
        <v>699</v>
      </c>
      <c r="C45" s="132" t="s">
        <v>610</v>
      </c>
      <c r="D45" s="132" t="s">
        <v>404</v>
      </c>
      <c r="E45" s="132" t="s">
        <v>232</v>
      </c>
      <c r="F45" s="133" t="s">
        <v>233</v>
      </c>
      <c r="G45" s="135" t="s">
        <v>234</v>
      </c>
      <c r="H45" s="131" t="s">
        <v>255</v>
      </c>
      <c r="I45" s="47"/>
      <c r="J45" s="47"/>
      <c r="K45" s="47"/>
      <c r="L45" s="47"/>
      <c r="M45" s="47"/>
      <c r="N45" s="47"/>
      <c r="O45" s="47"/>
      <c r="P45" s="47"/>
      <c r="Q45" s="196"/>
      <c r="R45" s="47"/>
      <c r="S45" s="196">
        <f>COUNTIF(S4:S44,"yes")</f>
        <v>22</v>
      </c>
      <c r="T45" s="196">
        <f>COUNTIF(T4:T44,"yes")</f>
        <v>14</v>
      </c>
      <c r="U45" s="56" t="s">
        <v>368</v>
      </c>
      <c r="V45" s="56"/>
      <c r="W45" s="56"/>
      <c r="X45" s="56" t="s">
        <v>368</v>
      </c>
      <c r="Y45" s="56"/>
      <c r="Z45" s="56" t="s">
        <v>368</v>
      </c>
      <c r="AA45" s="56" t="s">
        <v>368</v>
      </c>
      <c r="AB45" s="58" t="s">
        <v>368</v>
      </c>
      <c r="AC45" s="58"/>
      <c r="AD45" s="175"/>
      <c r="AE45" s="56" t="s">
        <v>368</v>
      </c>
      <c r="AF45" s="56"/>
      <c r="AG45" s="56"/>
      <c r="AH45" s="56"/>
      <c r="AI45" s="56"/>
      <c r="AJ45" s="56" t="s">
        <v>368</v>
      </c>
      <c r="AK45" s="56" t="s">
        <v>368</v>
      </c>
      <c r="AL45" s="56"/>
      <c r="AM45" s="56"/>
      <c r="AN45" s="56"/>
      <c r="AO45" s="56"/>
      <c r="AP45" s="58"/>
      <c r="AQ45" s="56"/>
      <c r="AR45" s="56"/>
      <c r="AS45" s="56"/>
      <c r="AT45" s="13"/>
      <c r="AU45" s="13"/>
      <c r="AV45" s="13"/>
      <c r="AW45" s="57" t="s">
        <v>370</v>
      </c>
      <c r="AX45" s="16"/>
      <c r="AY45" s="16"/>
      <c r="AZ45" s="16"/>
      <c r="BA45" s="16"/>
      <c r="BB45" s="173"/>
      <c r="BC45" s="167"/>
      <c r="BD45" s="167"/>
      <c r="BE45" s="168"/>
      <c r="BF45" s="169"/>
      <c r="BG45" s="170"/>
      <c r="BH45" s="170"/>
      <c r="BI45" s="170"/>
      <c r="BJ45" s="170"/>
    </row>
    <row r="46" spans="1:62" ht="25.15" customHeight="1">
      <c r="A46" s="13">
        <f t="shared" si="4"/>
        <v>64</v>
      </c>
      <c r="B46" s="132" t="s">
        <v>700</v>
      </c>
      <c r="C46" s="132" t="s">
        <v>701</v>
      </c>
      <c r="D46" s="132" t="s">
        <v>378</v>
      </c>
      <c r="E46" s="132" t="s">
        <v>235</v>
      </c>
      <c r="F46" s="136" t="s">
        <v>236</v>
      </c>
      <c r="G46" s="549" t="s">
        <v>237</v>
      </c>
      <c r="H46" s="131" t="s">
        <v>255</v>
      </c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56" t="s">
        <v>368</v>
      </c>
      <c r="V46" s="56"/>
      <c r="W46" s="56"/>
      <c r="X46" s="56"/>
      <c r="Y46" s="56"/>
      <c r="Z46" s="56"/>
      <c r="AA46" s="56"/>
      <c r="AB46" s="58"/>
      <c r="AC46" s="58"/>
      <c r="AD46" s="175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/>
      <c r="AQ46" s="56"/>
      <c r="AR46" s="56"/>
      <c r="AS46" s="56"/>
      <c r="AT46" s="13"/>
      <c r="AU46" s="13"/>
      <c r="AV46" s="13"/>
      <c r="AW46" s="57"/>
      <c r="AX46" s="16"/>
      <c r="AY46" s="16"/>
      <c r="AZ46" s="16"/>
      <c r="BA46" s="16"/>
      <c r="BB46" s="173"/>
      <c r="BC46" s="167"/>
      <c r="BD46" s="167"/>
      <c r="BE46" s="168"/>
      <c r="BF46" s="169"/>
      <c r="BG46" s="170" t="s">
        <v>370</v>
      </c>
      <c r="BH46" s="170"/>
      <c r="BI46" s="170"/>
      <c r="BJ46" s="170"/>
    </row>
    <row r="47" spans="1:62" ht="25.15" customHeight="1">
      <c r="A47" s="13">
        <f t="shared" si="4"/>
        <v>65</v>
      </c>
      <c r="B47" s="132" t="s">
        <v>702</v>
      </c>
      <c r="C47" s="132" t="s">
        <v>413</v>
      </c>
      <c r="D47" s="132" t="s">
        <v>378</v>
      </c>
      <c r="E47" s="132" t="s">
        <v>312</v>
      </c>
      <c r="F47" s="133" t="s">
        <v>313</v>
      </c>
      <c r="G47" s="121"/>
      <c r="H47" s="131" t="s">
        <v>255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84" t="s">
        <v>368</v>
      </c>
      <c r="V47" s="84"/>
      <c r="W47" s="56"/>
      <c r="X47" s="56"/>
      <c r="Y47" s="56" t="s">
        <v>368</v>
      </c>
      <c r="Z47" s="56"/>
      <c r="AA47" s="56" t="s">
        <v>368</v>
      </c>
      <c r="AB47" s="58"/>
      <c r="AC47" s="58" t="s">
        <v>368</v>
      </c>
      <c r="AD47" s="175"/>
      <c r="AE47" s="56"/>
      <c r="AF47" s="56"/>
      <c r="AG47" s="56"/>
      <c r="AH47" s="56"/>
      <c r="AI47" s="56"/>
      <c r="AJ47" s="56" t="s">
        <v>368</v>
      </c>
      <c r="AK47" s="56"/>
      <c r="AL47" s="56"/>
      <c r="AM47" s="56" t="s">
        <v>368</v>
      </c>
      <c r="AN47" s="56"/>
      <c r="AO47" s="56" t="s">
        <v>368</v>
      </c>
      <c r="AP47" s="58"/>
      <c r="AQ47" s="56"/>
      <c r="AR47" s="56"/>
      <c r="AS47" s="56"/>
      <c r="AT47" s="13"/>
      <c r="AU47" s="13"/>
      <c r="AV47" s="13"/>
      <c r="AW47" s="57" t="s">
        <v>370</v>
      </c>
      <c r="AX47" s="16"/>
      <c r="AY47" s="16"/>
      <c r="AZ47" s="16"/>
      <c r="BA47" s="16" t="s">
        <v>370</v>
      </c>
      <c r="BB47" s="173"/>
      <c r="BC47" s="167"/>
      <c r="BD47" s="167"/>
      <c r="BE47" s="168"/>
      <c r="BF47" s="169" t="s">
        <v>370</v>
      </c>
      <c r="BG47" s="170"/>
      <c r="BH47" s="170"/>
      <c r="BI47" s="170"/>
      <c r="BJ47" s="170"/>
    </row>
    <row r="48" spans="1:62" ht="25.15" customHeight="1">
      <c r="A48" s="13">
        <f t="shared" si="4"/>
        <v>66</v>
      </c>
      <c r="B48" s="132" t="s">
        <v>703</v>
      </c>
      <c r="C48" s="132" t="s">
        <v>475</v>
      </c>
      <c r="D48" s="132" t="s">
        <v>378</v>
      </c>
      <c r="E48" s="132" t="s">
        <v>337</v>
      </c>
      <c r="F48" s="133" t="s">
        <v>338</v>
      </c>
      <c r="G48" s="135" t="s">
        <v>339</v>
      </c>
      <c r="H48" s="138" t="s">
        <v>255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58" t="s">
        <v>368</v>
      </c>
      <c r="V48" s="56"/>
      <c r="W48" s="84"/>
      <c r="X48" s="84"/>
      <c r="Y48" s="84"/>
      <c r="Z48" s="84"/>
      <c r="AA48" s="84"/>
      <c r="AB48" s="83"/>
      <c r="AC48" s="83"/>
      <c r="AD48" s="197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/>
      <c r="AQ48" s="56"/>
      <c r="AR48" s="56"/>
      <c r="AS48" s="56"/>
      <c r="AT48" s="13"/>
      <c r="AU48" s="13"/>
      <c r="AV48" s="13"/>
      <c r="AW48" s="57"/>
      <c r="AX48" s="16"/>
      <c r="AY48" s="16"/>
      <c r="AZ48" s="16"/>
      <c r="BA48" s="16"/>
      <c r="BB48" s="173"/>
      <c r="BC48" s="167"/>
      <c r="BD48" s="167"/>
      <c r="BE48" s="168"/>
      <c r="BF48" s="169"/>
      <c r="BG48" s="170"/>
      <c r="BH48" s="170"/>
      <c r="BI48" s="170"/>
      <c r="BJ48" s="170"/>
    </row>
    <row r="49" spans="1:62" ht="25.15" customHeight="1">
      <c r="A49" s="13">
        <f t="shared" si="4"/>
        <v>67</v>
      </c>
      <c r="B49" s="132" t="s">
        <v>704</v>
      </c>
      <c r="C49" s="132" t="s">
        <v>705</v>
      </c>
      <c r="D49" s="132" t="s">
        <v>706</v>
      </c>
      <c r="E49" s="132" t="s">
        <v>340</v>
      </c>
      <c r="F49" s="132"/>
      <c r="G49" s="121"/>
      <c r="H49" s="132" t="s">
        <v>255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58"/>
      <c r="Z49" s="58"/>
      <c r="AA49" s="58"/>
      <c r="AB49" s="58"/>
      <c r="AC49" s="58"/>
      <c r="AD49" s="84" t="s">
        <v>368</v>
      </c>
      <c r="AE49" s="84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/>
      <c r="AQ49" s="56"/>
      <c r="AR49" s="56"/>
      <c r="AS49" s="56"/>
      <c r="AT49" s="13"/>
      <c r="AU49" s="13"/>
      <c r="AV49" s="13"/>
      <c r="AW49" s="57"/>
      <c r="AX49" s="16"/>
      <c r="AY49" s="16"/>
      <c r="AZ49" s="16"/>
      <c r="BA49" s="16"/>
      <c r="BB49" s="173"/>
      <c r="BC49" s="167"/>
      <c r="BD49" s="167"/>
      <c r="BE49" s="168"/>
      <c r="BF49" s="169"/>
      <c r="BG49" s="170"/>
      <c r="BH49" s="170"/>
      <c r="BI49" s="170"/>
      <c r="BJ49" s="170"/>
    </row>
    <row r="50" spans="1:62" ht="25.15" customHeight="1">
      <c r="A50" s="13">
        <f t="shared" si="4"/>
        <v>68</v>
      </c>
      <c r="B50" s="132" t="s">
        <v>707</v>
      </c>
      <c r="C50" s="132" t="s">
        <v>708</v>
      </c>
      <c r="D50" s="132" t="s">
        <v>367</v>
      </c>
      <c r="E50" s="132" t="s">
        <v>709</v>
      </c>
      <c r="F50" s="133" t="s">
        <v>710</v>
      </c>
      <c r="G50" s="135" t="s">
        <v>711</v>
      </c>
      <c r="H50" s="132" t="s">
        <v>255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83"/>
      <c r="Z50" s="83"/>
      <c r="AA50" s="83"/>
      <c r="AB50" s="83"/>
      <c r="AC50" s="84"/>
      <c r="AD50" s="58"/>
      <c r="AE50" s="58" t="s">
        <v>368</v>
      </c>
      <c r="AF50" s="198"/>
      <c r="AG50" s="56"/>
      <c r="AH50" s="56"/>
      <c r="AI50" s="56"/>
      <c r="AJ50" s="56"/>
      <c r="AK50" s="56"/>
      <c r="AL50" s="56"/>
      <c r="AM50" s="56"/>
      <c r="AN50" s="56"/>
      <c r="AO50" s="56"/>
      <c r="AP50" s="58"/>
      <c r="AQ50" s="56"/>
      <c r="AR50" s="56"/>
      <c r="AS50" s="56"/>
      <c r="AT50" s="13"/>
      <c r="AU50" s="13"/>
      <c r="AV50" s="13"/>
      <c r="AW50" s="57"/>
      <c r="AX50" s="16"/>
      <c r="AY50" s="16"/>
      <c r="AZ50" s="16"/>
      <c r="BA50" s="16"/>
      <c r="BB50" s="173"/>
      <c r="BC50" s="167"/>
      <c r="BD50" s="167"/>
      <c r="BE50" s="168"/>
      <c r="BF50" s="169"/>
      <c r="BG50" s="170"/>
      <c r="BH50" s="170"/>
      <c r="BI50" s="170"/>
      <c r="BJ50" s="170"/>
    </row>
    <row r="51" spans="1:62" ht="25.15" customHeight="1">
      <c r="A51" s="13">
        <f t="shared" si="4"/>
        <v>69</v>
      </c>
      <c r="B51" s="132" t="s">
        <v>712</v>
      </c>
      <c r="C51" s="132" t="s">
        <v>509</v>
      </c>
      <c r="D51" s="132" t="s">
        <v>404</v>
      </c>
      <c r="E51" s="132" t="s">
        <v>170</v>
      </c>
      <c r="F51" s="199" t="s">
        <v>343</v>
      </c>
      <c r="G51" s="188">
        <v>379859456</v>
      </c>
      <c r="H51" s="118" t="s">
        <v>255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83"/>
      <c r="AD51" s="200"/>
      <c r="AE51" s="201"/>
      <c r="AF51" s="84" t="s">
        <v>368</v>
      </c>
      <c r="AG51" s="84"/>
      <c r="AH51" s="84"/>
      <c r="AI51" s="84"/>
      <c r="AJ51" s="56" t="s">
        <v>368</v>
      </c>
      <c r="AK51" s="56"/>
      <c r="AL51" s="56" t="s">
        <v>368</v>
      </c>
      <c r="AM51" s="56"/>
      <c r="AN51" s="56"/>
      <c r="AO51" s="56"/>
      <c r="AP51" s="58"/>
      <c r="AQ51" s="56"/>
      <c r="AR51" s="56"/>
      <c r="AS51" s="56"/>
      <c r="AT51" s="13" t="s">
        <v>370</v>
      </c>
      <c r="AU51" s="13"/>
      <c r="AV51" s="13" t="s">
        <v>370</v>
      </c>
      <c r="AW51" s="57"/>
      <c r="AX51" s="16"/>
      <c r="AY51" s="16" t="s">
        <v>370</v>
      </c>
      <c r="AZ51" s="16"/>
      <c r="BA51" s="16" t="s">
        <v>370</v>
      </c>
      <c r="BB51" s="173"/>
      <c r="BC51" s="167"/>
      <c r="BD51" s="167" t="s">
        <v>370</v>
      </c>
      <c r="BE51" s="168"/>
      <c r="BF51" s="169" t="s">
        <v>370</v>
      </c>
      <c r="BG51" s="170" t="s">
        <v>370</v>
      </c>
      <c r="BH51" s="170" t="s">
        <v>370</v>
      </c>
      <c r="BI51" s="170" t="s">
        <v>370</v>
      </c>
      <c r="BJ51" s="170" t="s">
        <v>370</v>
      </c>
    </row>
    <row r="52" spans="1:62" ht="25.15" customHeight="1">
      <c r="A52" s="13">
        <f t="shared" si="4"/>
        <v>70</v>
      </c>
      <c r="B52" s="132" t="s">
        <v>713</v>
      </c>
      <c r="C52" s="132" t="s">
        <v>714</v>
      </c>
      <c r="D52" s="132"/>
      <c r="E52" s="132"/>
      <c r="F52" s="132"/>
      <c r="G52" s="121"/>
      <c r="H52" s="114" t="s">
        <v>255</v>
      </c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83"/>
      <c r="AD52" s="83"/>
      <c r="AE52" s="83"/>
      <c r="AF52" s="83"/>
      <c r="AG52" s="83"/>
      <c r="AH52" s="83" t="s">
        <v>368</v>
      </c>
      <c r="AI52" s="84" t="s">
        <v>369</v>
      </c>
      <c r="AJ52" s="56"/>
      <c r="AK52" s="56"/>
      <c r="AL52" s="56"/>
      <c r="AM52" s="56"/>
      <c r="AN52" s="56"/>
      <c r="AO52" s="56"/>
      <c r="AP52" s="58" t="s">
        <v>368</v>
      </c>
      <c r="AQ52" s="56"/>
      <c r="AR52" s="56"/>
      <c r="AS52" s="56"/>
      <c r="AT52" s="13"/>
      <c r="AU52" s="13"/>
      <c r="AV52" s="13"/>
      <c r="AW52" s="57"/>
      <c r="AX52" s="16"/>
      <c r="AY52" s="16"/>
      <c r="AZ52" s="16"/>
      <c r="BA52" s="16"/>
      <c r="BB52" s="173"/>
      <c r="BC52" s="167"/>
      <c r="BD52" s="167"/>
      <c r="BE52" s="168"/>
      <c r="BF52" s="169"/>
      <c r="BG52" s="170"/>
      <c r="BH52" s="170"/>
      <c r="BI52" s="170"/>
      <c r="BJ52" s="170"/>
    </row>
    <row r="53" spans="1:62" ht="25.15" customHeight="1">
      <c r="A53" s="13">
        <f t="shared" si="4"/>
        <v>71</v>
      </c>
      <c r="B53" s="132" t="s">
        <v>715</v>
      </c>
      <c r="C53" s="132"/>
      <c r="D53" s="132"/>
      <c r="E53" s="132"/>
      <c r="F53" s="126"/>
      <c r="G53" s="121"/>
      <c r="H53" s="132" t="s">
        <v>255</v>
      </c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58"/>
      <c r="AD53" s="58"/>
      <c r="AE53" s="58"/>
      <c r="AF53" s="58"/>
      <c r="AG53" s="58"/>
      <c r="AH53" s="58" t="s">
        <v>368</v>
      </c>
      <c r="AI53" s="84"/>
      <c r="AJ53" s="84" t="s">
        <v>368</v>
      </c>
      <c r="AK53" s="56" t="s">
        <v>368</v>
      </c>
      <c r="AL53" s="56"/>
      <c r="AM53" s="56"/>
      <c r="AN53" s="56"/>
      <c r="AO53" s="56"/>
      <c r="AP53" s="58" t="s">
        <v>368</v>
      </c>
      <c r="AQ53" s="56"/>
      <c r="AR53" s="56"/>
      <c r="AS53" s="56"/>
      <c r="AT53" s="13"/>
      <c r="AU53" s="13"/>
      <c r="AV53" s="13"/>
      <c r="AW53" s="57"/>
      <c r="AX53" s="16"/>
      <c r="AY53" s="16"/>
      <c r="AZ53" s="16"/>
      <c r="BA53" s="16" t="s">
        <v>370</v>
      </c>
      <c r="BB53" s="173"/>
      <c r="BC53" s="167"/>
      <c r="BD53" s="167" t="s">
        <v>370</v>
      </c>
      <c r="BE53" s="168"/>
      <c r="BF53" s="169"/>
      <c r="BG53" s="170"/>
      <c r="BH53" s="170" t="s">
        <v>370</v>
      </c>
      <c r="BI53" s="170"/>
      <c r="BJ53" s="170"/>
    </row>
    <row r="54" spans="1:62" ht="25.15" customHeight="1">
      <c r="A54" s="13">
        <f t="shared" si="4"/>
        <v>72</v>
      </c>
      <c r="B54" s="132" t="s">
        <v>716</v>
      </c>
      <c r="C54" s="132" t="s">
        <v>428</v>
      </c>
      <c r="D54" s="132" t="s">
        <v>404</v>
      </c>
      <c r="E54" s="120" t="s">
        <v>344</v>
      </c>
      <c r="F54" s="202" t="s">
        <v>345</v>
      </c>
      <c r="G54" s="119" t="s">
        <v>346</v>
      </c>
      <c r="H54" s="118" t="s">
        <v>255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83"/>
      <c r="AJ54" s="84" t="s">
        <v>368</v>
      </c>
      <c r="AK54" s="56" t="s">
        <v>368</v>
      </c>
      <c r="AL54" s="56" t="s">
        <v>368</v>
      </c>
      <c r="AM54" s="56"/>
      <c r="AN54" s="56"/>
      <c r="AO54" s="56"/>
      <c r="AP54" s="58" t="s">
        <v>368</v>
      </c>
      <c r="AQ54" s="56" t="s">
        <v>368</v>
      </c>
      <c r="AR54" s="56"/>
      <c r="AS54" s="56"/>
      <c r="AT54" s="13"/>
      <c r="AU54" s="13" t="s">
        <v>370</v>
      </c>
      <c r="AV54" s="13"/>
      <c r="AW54" s="57" t="s">
        <v>370</v>
      </c>
      <c r="AX54" s="16" t="s">
        <v>370</v>
      </c>
      <c r="AY54" s="16"/>
      <c r="AZ54" s="16" t="s">
        <v>370</v>
      </c>
      <c r="BA54" s="16" t="s">
        <v>370</v>
      </c>
      <c r="BB54" s="16" t="s">
        <v>370</v>
      </c>
      <c r="BC54" s="190" t="s">
        <v>370</v>
      </c>
      <c r="BD54" s="167" t="s">
        <v>370</v>
      </c>
      <c r="BE54" s="168"/>
      <c r="BF54" s="169"/>
      <c r="BG54" s="170"/>
      <c r="BH54" s="170"/>
      <c r="BI54" s="170"/>
      <c r="BJ54" s="170"/>
    </row>
    <row r="55" spans="1:62" ht="25.15" customHeight="1">
      <c r="A55" s="13">
        <f t="shared" si="4"/>
        <v>73</v>
      </c>
      <c r="B55" s="132" t="s">
        <v>661</v>
      </c>
      <c r="C55" s="132" t="s">
        <v>428</v>
      </c>
      <c r="D55" s="132" t="s">
        <v>404</v>
      </c>
      <c r="E55" s="132" t="s">
        <v>347</v>
      </c>
      <c r="F55" s="203" t="s">
        <v>348</v>
      </c>
      <c r="G55" s="121"/>
      <c r="H55" s="118" t="s">
        <v>255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83"/>
      <c r="AJ55" s="84" t="s">
        <v>368</v>
      </c>
      <c r="AK55" s="56"/>
      <c r="AL55" s="56"/>
      <c r="AM55" s="56"/>
      <c r="AN55" s="56"/>
      <c r="AO55" s="56"/>
      <c r="AP55" s="58"/>
      <c r="AQ55" s="56"/>
      <c r="AR55" s="56"/>
      <c r="AS55" s="56"/>
      <c r="AT55" s="13"/>
      <c r="AU55" s="13"/>
      <c r="AV55" s="13"/>
      <c r="AW55" s="57"/>
      <c r="AX55" s="16"/>
      <c r="AY55" s="16"/>
      <c r="AZ55" s="16"/>
      <c r="BA55" s="16" t="s">
        <v>370</v>
      </c>
      <c r="BB55" s="173"/>
      <c r="BC55" s="167"/>
      <c r="BD55" s="167" t="s">
        <v>370</v>
      </c>
      <c r="BE55" s="168"/>
      <c r="BF55" s="169"/>
      <c r="BG55" s="170"/>
      <c r="BH55" s="170"/>
      <c r="BI55" s="170"/>
      <c r="BJ55" s="170"/>
    </row>
    <row r="56" spans="1:62" ht="25.15" customHeight="1">
      <c r="A56" s="13">
        <f t="shared" si="4"/>
        <v>74</v>
      </c>
      <c r="B56" s="132" t="s">
        <v>717</v>
      </c>
      <c r="C56" s="132" t="s">
        <v>718</v>
      </c>
      <c r="D56" s="132" t="s">
        <v>404</v>
      </c>
      <c r="E56" s="132" t="s">
        <v>349</v>
      </c>
      <c r="F56" s="133" t="s">
        <v>350</v>
      </c>
      <c r="G56" s="121" t="s">
        <v>351</v>
      </c>
      <c r="H56" s="132" t="s">
        <v>255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58"/>
      <c r="AJ56" s="58"/>
      <c r="AK56" s="198"/>
      <c r="AL56" s="56"/>
      <c r="AM56" s="56"/>
      <c r="AN56" s="56"/>
      <c r="AO56" s="56"/>
      <c r="AP56" s="58"/>
      <c r="AQ56" s="56"/>
      <c r="AR56" s="56"/>
      <c r="AS56" s="56"/>
      <c r="AT56" s="13"/>
      <c r="AU56" s="13"/>
      <c r="AV56" s="13"/>
      <c r="AW56" s="57"/>
      <c r="AX56" s="16"/>
      <c r="AY56" s="16"/>
      <c r="AZ56" s="16"/>
      <c r="BA56" s="16"/>
      <c r="BB56" s="173"/>
      <c r="BC56" s="167"/>
      <c r="BD56" s="167"/>
      <c r="BE56" s="168"/>
      <c r="BF56" s="169"/>
      <c r="BG56" s="170"/>
      <c r="BH56" s="170"/>
      <c r="BI56" s="170"/>
      <c r="BJ56" s="170"/>
    </row>
    <row r="57" spans="1:62" ht="25.15" customHeight="1">
      <c r="A57" s="13">
        <f t="shared" si="4"/>
        <v>75</v>
      </c>
      <c r="B57" s="132" t="s">
        <v>719</v>
      </c>
      <c r="C57" s="132" t="s">
        <v>720</v>
      </c>
      <c r="D57" s="132" t="s">
        <v>404</v>
      </c>
      <c r="E57" s="132" t="s">
        <v>352</v>
      </c>
      <c r="F57" s="133" t="s">
        <v>353</v>
      </c>
      <c r="G57" s="121" t="s">
        <v>354</v>
      </c>
      <c r="H57" s="118" t="s">
        <v>255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84" t="s">
        <v>368</v>
      </c>
      <c r="AL57" s="84"/>
      <c r="AM57" s="84"/>
      <c r="AN57" s="84"/>
      <c r="AO57" s="56"/>
      <c r="AP57" s="58"/>
      <c r="AQ57" s="56"/>
      <c r="AR57" s="56"/>
      <c r="AS57" s="56"/>
      <c r="AT57" s="13"/>
      <c r="AU57" s="13"/>
      <c r="AV57" s="13"/>
      <c r="AW57" s="57"/>
      <c r="AX57" s="16"/>
      <c r="AY57" s="16"/>
      <c r="AZ57" s="16"/>
      <c r="BA57" s="16"/>
      <c r="BB57" s="173"/>
      <c r="BC57" s="167"/>
      <c r="BD57" s="167"/>
      <c r="BE57" s="168"/>
      <c r="BF57" s="169"/>
      <c r="BG57" s="170"/>
      <c r="BH57" s="170"/>
      <c r="BI57" s="170"/>
      <c r="BJ57" s="170"/>
    </row>
    <row r="58" spans="1:62" ht="25.15" customHeight="1">
      <c r="A58" s="13">
        <f t="shared" si="4"/>
        <v>76</v>
      </c>
      <c r="B58" s="132" t="s">
        <v>721</v>
      </c>
      <c r="C58" s="132"/>
      <c r="D58" s="132"/>
      <c r="E58" s="132"/>
      <c r="F58" s="132"/>
      <c r="G58" s="121"/>
      <c r="H58" s="118" t="s">
        <v>255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58"/>
      <c r="AL58" s="58"/>
      <c r="AM58" s="58"/>
      <c r="AN58" s="56"/>
      <c r="AO58" s="56" t="s">
        <v>368</v>
      </c>
      <c r="AP58" s="58"/>
      <c r="AQ58" s="56"/>
      <c r="AR58" s="56"/>
      <c r="AS58" s="56"/>
      <c r="AT58" s="13"/>
      <c r="AU58" s="13"/>
      <c r="AV58" s="13"/>
      <c r="AW58" s="57"/>
      <c r="AX58" s="16"/>
      <c r="AY58" s="16"/>
      <c r="AZ58" s="16"/>
      <c r="BA58" s="16"/>
      <c r="BB58" s="173"/>
      <c r="BC58" s="167"/>
      <c r="BD58" s="167"/>
      <c r="BE58" s="168"/>
      <c r="BF58" s="169"/>
      <c r="BG58" s="170"/>
      <c r="BH58" s="170"/>
      <c r="BI58" s="170"/>
      <c r="BJ58" s="170"/>
    </row>
    <row r="59" spans="1:62" ht="25.15" customHeight="1">
      <c r="A59" s="13">
        <f t="shared" si="4"/>
        <v>77</v>
      </c>
      <c r="B59" s="132" t="s">
        <v>722</v>
      </c>
      <c r="C59" s="132"/>
      <c r="D59" s="132"/>
      <c r="E59" s="132"/>
      <c r="F59" s="132"/>
      <c r="G59" s="121"/>
      <c r="H59" s="118" t="s">
        <v>255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58"/>
      <c r="AL59" s="58"/>
      <c r="AM59" s="58"/>
      <c r="AN59" s="56"/>
      <c r="AO59" s="56" t="s">
        <v>368</v>
      </c>
      <c r="AP59" s="58"/>
      <c r="AQ59" s="56"/>
      <c r="AR59" s="56"/>
      <c r="AS59" s="56"/>
      <c r="AT59" s="13"/>
      <c r="AU59" s="13"/>
      <c r="AV59" s="13"/>
      <c r="AW59" s="57"/>
      <c r="AX59" s="16"/>
      <c r="AY59" s="16"/>
      <c r="AZ59" s="16"/>
      <c r="BA59" s="16"/>
      <c r="BB59" s="173"/>
      <c r="BC59" s="167"/>
      <c r="BD59" s="167"/>
      <c r="BE59" s="168"/>
      <c r="BF59" s="169"/>
      <c r="BG59" s="170"/>
      <c r="BH59" s="170"/>
      <c r="BI59" s="170"/>
      <c r="BJ59" s="170"/>
    </row>
    <row r="60" spans="1:62" ht="25.15" customHeight="1">
      <c r="A60" s="13">
        <f t="shared" si="4"/>
        <v>78</v>
      </c>
      <c r="B60" s="132" t="s">
        <v>551</v>
      </c>
      <c r="C60" s="132"/>
      <c r="D60" s="132"/>
      <c r="E60" s="132"/>
      <c r="F60" s="132"/>
      <c r="G60" s="121"/>
      <c r="H60" s="118" t="s">
        <v>255</v>
      </c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58"/>
      <c r="AL60" s="58"/>
      <c r="AM60" s="58"/>
      <c r="AN60" s="56"/>
      <c r="AO60" s="56" t="s">
        <v>368</v>
      </c>
      <c r="AP60" s="58"/>
      <c r="AQ60" s="56"/>
      <c r="AR60" s="56"/>
      <c r="AS60" s="56"/>
      <c r="AT60" s="13"/>
      <c r="AU60" s="13"/>
      <c r="AV60" s="13"/>
      <c r="AW60" s="57"/>
      <c r="AX60" s="16"/>
      <c r="AY60" s="16"/>
      <c r="AZ60" s="16"/>
      <c r="BA60" s="16"/>
      <c r="BB60" s="173"/>
      <c r="BC60" s="167"/>
      <c r="BD60" s="167"/>
      <c r="BE60" s="168"/>
      <c r="BF60" s="169"/>
      <c r="BG60" s="170"/>
      <c r="BH60" s="170"/>
      <c r="BI60" s="170" t="s">
        <v>370</v>
      </c>
      <c r="BJ60" s="170"/>
    </row>
    <row r="61" spans="1:62" ht="25.15" customHeight="1">
      <c r="A61" s="13">
        <f t="shared" si="4"/>
        <v>79</v>
      </c>
      <c r="B61" s="132" t="s">
        <v>723</v>
      </c>
      <c r="C61" s="132"/>
      <c r="D61" s="132"/>
      <c r="E61" s="132"/>
      <c r="F61" s="132"/>
      <c r="G61" s="121"/>
      <c r="H61" s="118" t="s">
        <v>255</v>
      </c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58"/>
      <c r="AL61" s="58"/>
      <c r="AM61" s="58"/>
      <c r="AN61" s="56"/>
      <c r="AO61" s="56" t="s">
        <v>368</v>
      </c>
      <c r="AP61" s="58"/>
      <c r="AQ61" s="56"/>
      <c r="AR61" s="56"/>
      <c r="AS61" s="56"/>
      <c r="AT61" s="13"/>
      <c r="AU61" s="13"/>
      <c r="AV61" s="13"/>
      <c r="AW61" s="57"/>
      <c r="AX61" s="16"/>
      <c r="AY61" s="16"/>
      <c r="AZ61" s="16"/>
      <c r="BA61" s="16"/>
      <c r="BB61" s="173"/>
      <c r="BC61" s="167"/>
      <c r="BD61" s="167"/>
      <c r="BE61" s="168"/>
      <c r="BF61" s="169"/>
      <c r="BG61" s="170"/>
      <c r="BH61" s="170"/>
      <c r="BI61" s="170"/>
      <c r="BJ61" s="170"/>
    </row>
    <row r="62" spans="1:62">
      <c r="A62" s="13">
        <f t="shared" si="4"/>
        <v>80</v>
      </c>
      <c r="B62" s="124" t="s">
        <v>724</v>
      </c>
      <c r="C62" s="123" t="s">
        <v>375</v>
      </c>
      <c r="D62" s="123" t="s">
        <v>404</v>
      </c>
      <c r="E62" s="123" t="s">
        <v>725</v>
      </c>
      <c r="F62" s="125" t="s">
        <v>726</v>
      </c>
      <c r="G62" s="550" t="s">
        <v>727</v>
      </c>
      <c r="H62" s="140" t="s">
        <v>255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43"/>
      <c r="AU62" s="43"/>
      <c r="AV62" s="43" t="s">
        <v>370</v>
      </c>
      <c r="AW62" s="44" t="s">
        <v>370</v>
      </c>
      <c r="AX62" s="39"/>
      <c r="AY62" s="39" t="s">
        <v>370</v>
      </c>
      <c r="AZ62" s="39"/>
      <c r="BA62" s="39" t="s">
        <v>370</v>
      </c>
      <c r="BB62" s="16" t="s">
        <v>370</v>
      </c>
      <c r="BC62" s="167" t="s">
        <v>370</v>
      </c>
      <c r="BD62" s="167" t="s">
        <v>370</v>
      </c>
      <c r="BE62" s="168"/>
      <c r="BF62" s="169" t="s">
        <v>370</v>
      </c>
      <c r="BG62" s="170" t="s">
        <v>370</v>
      </c>
      <c r="BH62" s="170" t="s">
        <v>370</v>
      </c>
      <c r="BI62" s="170"/>
      <c r="BJ62" s="170" t="s">
        <v>370</v>
      </c>
    </row>
    <row r="63" spans="1:62" ht="28.5" customHeight="1">
      <c r="A63" s="13">
        <f t="shared" si="4"/>
        <v>81</v>
      </c>
      <c r="B63" s="204" t="s">
        <v>490</v>
      </c>
      <c r="C63" s="204" t="s">
        <v>624</v>
      </c>
      <c r="D63" s="204" t="s">
        <v>378</v>
      </c>
      <c r="E63" s="204" t="s">
        <v>625</v>
      </c>
      <c r="F63" s="205" t="s">
        <v>626</v>
      </c>
      <c r="G63" s="551" t="s">
        <v>728</v>
      </c>
      <c r="H63" s="118" t="s">
        <v>255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 t="s">
        <v>370</v>
      </c>
      <c r="BA63" s="20"/>
      <c r="BB63" s="173"/>
      <c r="BC63" s="206"/>
      <c r="BD63" s="206"/>
      <c r="BE63" s="207"/>
      <c r="BF63" s="208"/>
      <c r="BG63" s="170"/>
      <c r="BH63" s="170"/>
      <c r="BI63" s="170"/>
      <c r="BJ63" s="170"/>
    </row>
    <row r="64" spans="1:62">
      <c r="A64" s="13">
        <f t="shared" si="4"/>
        <v>82</v>
      </c>
      <c r="B64" s="139" t="s">
        <v>729</v>
      </c>
      <c r="C64" s="139" t="s">
        <v>730</v>
      </c>
      <c r="D64" s="139" t="s">
        <v>404</v>
      </c>
      <c r="E64" s="139" t="s">
        <v>731</v>
      </c>
      <c r="F64" s="139"/>
      <c r="G64" s="139"/>
      <c r="H64" s="209" t="s">
        <v>255</v>
      </c>
      <c r="BC64" s="210"/>
      <c r="BD64" s="210"/>
      <c r="BE64" s="210" t="s">
        <v>370</v>
      </c>
      <c r="BF64" s="167"/>
      <c r="BG64" s="170"/>
      <c r="BH64" s="170"/>
      <c r="BI64" s="170"/>
      <c r="BJ64" s="170"/>
    </row>
    <row r="65" spans="1:62">
      <c r="A65" s="13">
        <f t="shared" si="4"/>
        <v>83</v>
      </c>
      <c r="B65" s="139" t="s">
        <v>732</v>
      </c>
      <c r="C65" s="139" t="s">
        <v>730</v>
      </c>
      <c r="D65" s="139" t="s">
        <v>404</v>
      </c>
      <c r="E65" s="139" t="s">
        <v>731</v>
      </c>
      <c r="F65" s="139"/>
      <c r="G65" s="139"/>
      <c r="H65" s="209" t="s">
        <v>255</v>
      </c>
      <c r="BC65" s="210"/>
      <c r="BD65" s="210"/>
      <c r="BE65" s="210"/>
      <c r="BF65" s="167"/>
      <c r="BG65" s="170"/>
      <c r="BH65" s="170"/>
      <c r="BI65" s="170"/>
      <c r="BJ65" s="170"/>
    </row>
    <row r="66" spans="1:62">
      <c r="A66" s="13">
        <f t="shared" si="4"/>
        <v>84</v>
      </c>
      <c r="B66" s="139" t="s">
        <v>415</v>
      </c>
      <c r="C66" s="139" t="s">
        <v>733</v>
      </c>
      <c r="D66" s="139" t="s">
        <v>378</v>
      </c>
      <c r="E66" s="139" t="s">
        <v>734</v>
      </c>
      <c r="F66" s="139"/>
      <c r="G66" s="139"/>
      <c r="H66" s="209" t="s">
        <v>255</v>
      </c>
      <c r="BC66" s="210"/>
      <c r="BD66" s="210"/>
      <c r="BE66" s="210" t="s">
        <v>370</v>
      </c>
      <c r="BF66" s="167" t="s">
        <v>370</v>
      </c>
      <c r="BG66" s="170"/>
      <c r="BH66" s="170"/>
      <c r="BI66" s="170"/>
      <c r="BJ66" s="170"/>
    </row>
    <row r="67" spans="1:62">
      <c r="A67" s="13">
        <f t="shared" si="4"/>
        <v>85</v>
      </c>
      <c r="B67" s="139" t="s">
        <v>735</v>
      </c>
      <c r="C67" s="139"/>
      <c r="D67" s="139"/>
      <c r="E67" s="139"/>
      <c r="F67" s="139"/>
      <c r="G67" s="139"/>
      <c r="H67" s="209" t="s">
        <v>255</v>
      </c>
      <c r="BC67" s="210"/>
      <c r="BD67" s="210"/>
      <c r="BE67" s="210"/>
      <c r="BF67" s="167" t="s">
        <v>370</v>
      </c>
      <c r="BG67" s="170" t="s">
        <v>370</v>
      </c>
      <c r="BH67" s="170" t="s">
        <v>370</v>
      </c>
      <c r="BI67" s="170" t="s">
        <v>370</v>
      </c>
      <c r="BJ67" s="170" t="s">
        <v>370</v>
      </c>
    </row>
    <row r="68" spans="1:62">
      <c r="A68" s="13">
        <f t="shared" si="4"/>
        <v>86</v>
      </c>
      <c r="B68" s="204" t="s">
        <v>736</v>
      </c>
      <c r="C68" s="204"/>
      <c r="D68" s="204"/>
      <c r="E68" s="204"/>
      <c r="F68" s="204"/>
      <c r="G68" s="204"/>
      <c r="H68" s="142" t="s">
        <v>255</v>
      </c>
      <c r="BC68" s="211"/>
      <c r="BD68" s="211"/>
      <c r="BE68" s="211"/>
      <c r="BF68" s="206" t="s">
        <v>370</v>
      </c>
      <c r="BG68" s="212" t="s">
        <v>370</v>
      </c>
      <c r="BH68" s="212" t="s">
        <v>370</v>
      </c>
      <c r="BI68" s="212" t="s">
        <v>370</v>
      </c>
      <c r="BJ68" s="212" t="s">
        <v>370</v>
      </c>
    </row>
    <row r="69" spans="1:62">
      <c r="A69" s="13">
        <f t="shared" si="4"/>
        <v>87</v>
      </c>
      <c r="B69" s="129" t="s">
        <v>737</v>
      </c>
      <c r="C69" s="130"/>
      <c r="D69" s="130"/>
      <c r="E69" s="130"/>
      <c r="F69" s="130"/>
      <c r="G69" s="130"/>
      <c r="H69" s="142" t="s">
        <v>255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68"/>
      <c r="BD69" s="168"/>
      <c r="BE69" s="168"/>
      <c r="BF69" s="168"/>
      <c r="BG69" s="1"/>
      <c r="BH69" s="1"/>
      <c r="BI69" s="212" t="s">
        <v>370</v>
      </c>
      <c r="BJ69" s="1"/>
    </row>
    <row r="70" spans="1:62">
      <c r="A70" s="13">
        <f t="shared" si="4"/>
        <v>88</v>
      </c>
      <c r="B70" s="129" t="s">
        <v>738</v>
      </c>
      <c r="C70" s="130"/>
      <c r="D70" s="130"/>
      <c r="E70" s="130"/>
      <c r="F70" s="130"/>
      <c r="G70" s="130"/>
      <c r="H70" s="142" t="s">
        <v>255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68"/>
      <c r="BD70" s="168"/>
      <c r="BE70" s="168"/>
      <c r="BF70" s="168"/>
      <c r="BG70" s="1"/>
      <c r="BH70" s="1"/>
      <c r="BI70" s="212" t="s">
        <v>370</v>
      </c>
      <c r="BJ70" s="1"/>
    </row>
    <row r="71" spans="1:62">
      <c r="A71" s="13">
        <f t="shared" si="4"/>
        <v>89</v>
      </c>
      <c r="B71" s="129" t="s">
        <v>739</v>
      </c>
      <c r="C71" s="130"/>
      <c r="D71" s="130"/>
      <c r="E71" s="130"/>
      <c r="F71" s="130"/>
      <c r="G71" s="130"/>
      <c r="H71" s="142" t="s">
        <v>255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68"/>
      <c r="BD71" s="168"/>
      <c r="BE71" s="168"/>
      <c r="BF71" s="168"/>
      <c r="BG71" s="1"/>
      <c r="BH71" s="1"/>
      <c r="BI71" s="212" t="s">
        <v>370</v>
      </c>
      <c r="BJ71" s="170" t="s">
        <v>370</v>
      </c>
    </row>
    <row r="72" spans="1:62">
      <c r="A72" s="13">
        <f t="shared" si="4"/>
        <v>90</v>
      </c>
      <c r="B72" s="129" t="s">
        <v>740</v>
      </c>
      <c r="C72" s="130"/>
      <c r="D72" s="130"/>
      <c r="E72" s="130"/>
      <c r="F72" s="130"/>
      <c r="G72" s="130"/>
      <c r="H72" s="142" t="s">
        <v>255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68"/>
      <c r="BD72" s="168"/>
      <c r="BE72" s="168"/>
      <c r="BF72" s="168"/>
      <c r="BG72" s="1"/>
      <c r="BH72" s="1"/>
      <c r="BI72" s="212" t="s">
        <v>370</v>
      </c>
      <c r="BJ72" s="170" t="s">
        <v>370</v>
      </c>
    </row>
    <row r="73" spans="1:62">
      <c r="A73" s="13">
        <f t="shared" si="4"/>
        <v>91</v>
      </c>
      <c r="B73" s="129" t="s">
        <v>685</v>
      </c>
      <c r="C73" s="213" t="s">
        <v>741</v>
      </c>
      <c r="D73" s="130"/>
      <c r="E73" s="130"/>
      <c r="F73" s="130"/>
      <c r="G73" s="130"/>
      <c r="H73" s="142" t="s">
        <v>255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68"/>
      <c r="BD73" s="168"/>
      <c r="BE73" s="168"/>
      <c r="BF73" s="168"/>
      <c r="BG73" s="1"/>
      <c r="BH73" s="1"/>
      <c r="BI73" s="1"/>
      <c r="BJ73" s="1"/>
    </row>
    <row r="74" spans="1:62">
      <c r="A74" s="13">
        <f t="shared" si="4"/>
        <v>92</v>
      </c>
      <c r="B74" s="129"/>
      <c r="C74" s="130"/>
      <c r="D74" s="130"/>
      <c r="E74" s="130"/>
      <c r="F74" s="130"/>
      <c r="G74" s="130"/>
      <c r="H74" s="142" t="s">
        <v>255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68"/>
      <c r="BD74" s="168"/>
      <c r="BE74" s="168"/>
      <c r="BF74" s="168"/>
      <c r="BG74" s="1"/>
      <c r="BH74" s="1"/>
      <c r="BI74" s="1"/>
      <c r="BJ74" s="1"/>
    </row>
    <row r="75" spans="1:62">
      <c r="A75" s="13">
        <f t="shared" si="4"/>
        <v>93</v>
      </c>
      <c r="B75" s="129"/>
      <c r="C75" s="130"/>
      <c r="D75" s="130"/>
      <c r="E75" s="130"/>
      <c r="F75" s="130"/>
      <c r="G75" s="130"/>
      <c r="H75" s="142" t="s">
        <v>255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68"/>
      <c r="BD75" s="168"/>
      <c r="BE75" s="168"/>
      <c r="BF75" s="168"/>
      <c r="BG75" s="1"/>
      <c r="BH75" s="1"/>
      <c r="BI75" s="1"/>
      <c r="BJ75" s="1"/>
    </row>
    <row r="76" spans="1:62">
      <c r="A76" s="13">
        <f t="shared" si="4"/>
        <v>94</v>
      </c>
      <c r="B76" s="129"/>
      <c r="C76" s="130"/>
      <c r="D76" s="130"/>
      <c r="E76" s="130"/>
      <c r="F76" s="130"/>
      <c r="G76" s="130"/>
      <c r="H76" s="132" t="s">
        <v>255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68"/>
      <c r="BD76" s="168"/>
      <c r="BE76" s="168"/>
      <c r="BF76" s="168"/>
      <c r="BG76" s="1"/>
      <c r="BH76" s="1"/>
      <c r="BI76" s="1"/>
      <c r="BJ76" s="1"/>
    </row>
    <row r="77" spans="1:62">
      <c r="A77"/>
      <c r="B77"/>
      <c r="C77"/>
      <c r="D77"/>
      <c r="E77"/>
      <c r="F77"/>
      <c r="G77"/>
      <c r="H77"/>
    </row>
    <row r="78" spans="1:62">
      <c r="A78"/>
      <c r="B78"/>
      <c r="C78"/>
      <c r="D78"/>
      <c r="E78"/>
      <c r="F78"/>
      <c r="G78"/>
      <c r="H78"/>
    </row>
    <row r="79" spans="1:62">
      <c r="A79"/>
      <c r="B79"/>
      <c r="C79"/>
      <c r="D79"/>
      <c r="E79"/>
      <c r="F79"/>
      <c r="G79"/>
      <c r="H79"/>
    </row>
    <row r="80" spans="1:62">
      <c r="A80"/>
      <c r="B80"/>
      <c r="C80"/>
      <c r="D80"/>
      <c r="E80"/>
      <c r="F80"/>
      <c r="G80"/>
      <c r="H80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/>
      <c r="B86"/>
      <c r="C86"/>
      <c r="D86"/>
      <c r="E86"/>
      <c r="F86"/>
      <c r="G86"/>
      <c r="H86"/>
    </row>
    <row r="87" spans="1:8">
      <c r="A87"/>
      <c r="B87"/>
      <c r="C87"/>
      <c r="D87"/>
      <c r="E87"/>
      <c r="F87"/>
      <c r="G87"/>
      <c r="H87"/>
    </row>
    <row r="88" spans="1:8">
      <c r="A88"/>
      <c r="B88"/>
      <c r="C88"/>
      <c r="D88"/>
      <c r="E88"/>
      <c r="F88"/>
      <c r="G88"/>
      <c r="H88"/>
    </row>
    <row r="89" spans="1:8">
      <c r="A89"/>
      <c r="B89"/>
      <c r="C89"/>
      <c r="D89"/>
      <c r="E89"/>
      <c r="F89"/>
      <c r="G89"/>
      <c r="H89"/>
    </row>
    <row r="90" spans="1:8">
      <c r="A90"/>
      <c r="B90"/>
      <c r="C90"/>
      <c r="D90"/>
      <c r="E90"/>
      <c r="F90"/>
      <c r="G90"/>
      <c r="H90"/>
    </row>
    <row r="91" spans="1:8">
      <c r="A91"/>
      <c r="B91"/>
      <c r="C91"/>
      <c r="D91"/>
      <c r="E91"/>
      <c r="F91"/>
      <c r="G91"/>
      <c r="H91"/>
    </row>
    <row r="92" spans="1:8">
      <c r="A92"/>
      <c r="B92"/>
      <c r="C92"/>
      <c r="D92"/>
      <c r="E92"/>
      <c r="F92"/>
      <c r="G92"/>
      <c r="H92"/>
    </row>
    <row r="93" spans="1:8">
      <c r="A93"/>
      <c r="B93"/>
      <c r="C93"/>
      <c r="D93"/>
      <c r="E93"/>
      <c r="F93"/>
      <c r="G93"/>
      <c r="H93"/>
    </row>
    <row r="94" spans="1:8">
      <c r="A94"/>
      <c r="B94"/>
      <c r="C94"/>
      <c r="D94"/>
      <c r="E94"/>
      <c r="F94"/>
      <c r="G94"/>
      <c r="H94"/>
    </row>
    <row r="95" spans="1:8">
      <c r="A95"/>
      <c r="B95"/>
      <c r="C95"/>
      <c r="D95"/>
      <c r="E95"/>
      <c r="F95"/>
      <c r="G95"/>
      <c r="H95"/>
    </row>
    <row r="96" spans="1:8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/>
      <c r="B102"/>
      <c r="C102"/>
      <c r="D102"/>
      <c r="E102"/>
      <c r="F102"/>
      <c r="G102"/>
      <c r="H102"/>
    </row>
    <row r="103" spans="1:8">
      <c r="A103"/>
      <c r="B103"/>
      <c r="C103"/>
      <c r="D103"/>
      <c r="E103"/>
      <c r="F103"/>
      <c r="G103"/>
      <c r="H103"/>
    </row>
    <row r="104" spans="1:8">
      <c r="A104"/>
      <c r="B104"/>
      <c r="C104"/>
      <c r="D104"/>
      <c r="E104"/>
      <c r="F104"/>
      <c r="G104"/>
      <c r="H104"/>
    </row>
    <row r="105" spans="1:8">
      <c r="A105"/>
      <c r="B105"/>
      <c r="C105"/>
      <c r="D105"/>
      <c r="E105"/>
      <c r="F105"/>
      <c r="G105"/>
      <c r="H105"/>
    </row>
    <row r="106" spans="1:8">
      <c r="A106"/>
      <c r="B106"/>
      <c r="C106"/>
      <c r="D106"/>
      <c r="E106"/>
      <c r="F106"/>
      <c r="G106"/>
      <c r="H106"/>
    </row>
    <row r="107" spans="1:8">
      <c r="A107"/>
      <c r="B107"/>
      <c r="C107"/>
      <c r="D107"/>
      <c r="E107"/>
      <c r="F107"/>
      <c r="G107"/>
      <c r="H107"/>
    </row>
    <row r="108" spans="1:8">
      <c r="A108"/>
      <c r="B108"/>
      <c r="C108"/>
      <c r="D108"/>
      <c r="E108"/>
      <c r="F108"/>
      <c r="G108"/>
      <c r="H108"/>
    </row>
    <row r="109" spans="1:8">
      <c r="A109"/>
      <c r="B109"/>
      <c r="C109"/>
      <c r="D109"/>
      <c r="E109"/>
      <c r="F109"/>
      <c r="G109"/>
      <c r="H109"/>
    </row>
    <row r="110" spans="1:8">
      <c r="A110"/>
      <c r="B110"/>
      <c r="C110"/>
      <c r="D110"/>
      <c r="E110"/>
      <c r="F110"/>
      <c r="G110"/>
      <c r="H110"/>
    </row>
    <row r="111" spans="1:8">
      <c r="A111"/>
      <c r="B111"/>
      <c r="C111"/>
      <c r="D111"/>
      <c r="E111"/>
      <c r="F111"/>
      <c r="G111"/>
      <c r="H111"/>
    </row>
    <row r="112" spans="1:8">
      <c r="A112"/>
      <c r="B112"/>
      <c r="C112"/>
      <c r="D112"/>
      <c r="E112"/>
      <c r="F112"/>
      <c r="G112"/>
      <c r="H112"/>
    </row>
    <row r="113" spans="1:8">
      <c r="A113"/>
      <c r="B113"/>
      <c r="C113"/>
      <c r="D113"/>
      <c r="E113"/>
      <c r="F113"/>
      <c r="G113"/>
      <c r="H113"/>
    </row>
    <row r="114" spans="1:8">
      <c r="A114"/>
      <c r="B114"/>
      <c r="C114"/>
      <c r="D114"/>
      <c r="E114"/>
      <c r="F114"/>
      <c r="G114"/>
      <c r="H114"/>
    </row>
    <row r="115" spans="1:8">
      <c r="A115"/>
      <c r="B115"/>
      <c r="C115"/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/>
      <c r="B118"/>
      <c r="C118"/>
      <c r="D118"/>
      <c r="E118"/>
      <c r="F118"/>
      <c r="G118"/>
      <c r="H118"/>
    </row>
    <row r="119" spans="1:8">
      <c r="A119"/>
      <c r="B119"/>
      <c r="C119"/>
      <c r="D119"/>
      <c r="E119"/>
      <c r="F119"/>
      <c r="G119"/>
      <c r="H119"/>
    </row>
    <row r="120" spans="1:8">
      <c r="A120"/>
      <c r="B120"/>
      <c r="C120"/>
      <c r="D120"/>
      <c r="E120"/>
      <c r="F120"/>
      <c r="G120"/>
      <c r="H120"/>
    </row>
    <row r="121" spans="1:8">
      <c r="A121"/>
      <c r="B121"/>
      <c r="C121"/>
      <c r="D121"/>
      <c r="E121"/>
      <c r="F121"/>
      <c r="G121"/>
      <c r="H121"/>
    </row>
    <row r="122" spans="1:8">
      <c r="A122"/>
      <c r="B122"/>
      <c r="C122"/>
      <c r="D122"/>
      <c r="E122"/>
      <c r="F122"/>
      <c r="G122"/>
      <c r="H122"/>
    </row>
    <row r="123" spans="1:8">
      <c r="A123"/>
      <c r="B123"/>
      <c r="C123"/>
      <c r="D123"/>
      <c r="E123"/>
      <c r="F123"/>
      <c r="G123"/>
      <c r="H123"/>
    </row>
    <row r="124" spans="1:8">
      <c r="A124"/>
      <c r="B124"/>
      <c r="C124"/>
      <c r="D124"/>
      <c r="E124"/>
      <c r="F124"/>
      <c r="G124"/>
      <c r="H124"/>
    </row>
    <row r="125" spans="1:8">
      <c r="A125"/>
      <c r="B125"/>
      <c r="C125"/>
      <c r="D125"/>
      <c r="E125"/>
      <c r="F125"/>
      <c r="G125"/>
      <c r="H125"/>
    </row>
    <row r="126" spans="1:8">
      <c r="A126"/>
      <c r="B126"/>
      <c r="C126"/>
      <c r="D126"/>
      <c r="E126"/>
      <c r="F126"/>
      <c r="G126"/>
      <c r="H126"/>
    </row>
    <row r="127" spans="1:8">
      <c r="A127"/>
      <c r="B127"/>
      <c r="C127"/>
      <c r="D127"/>
      <c r="E127"/>
      <c r="F127"/>
      <c r="G127"/>
      <c r="H127"/>
    </row>
    <row r="128" spans="1:8">
      <c r="A128"/>
      <c r="B128"/>
      <c r="C128"/>
      <c r="D128"/>
      <c r="E128"/>
      <c r="F128"/>
      <c r="G128"/>
      <c r="H128"/>
    </row>
    <row r="129" spans="1:8">
      <c r="A129"/>
      <c r="B129"/>
      <c r="C129"/>
      <c r="D129"/>
      <c r="E129"/>
      <c r="F129"/>
      <c r="G129"/>
      <c r="H129"/>
    </row>
    <row r="130" spans="1:8">
      <c r="A130"/>
      <c r="B130"/>
      <c r="C130"/>
      <c r="D130"/>
      <c r="E130"/>
      <c r="F130"/>
      <c r="G130"/>
      <c r="H130"/>
    </row>
    <row r="131" spans="1:8">
      <c r="A131"/>
      <c r="B131"/>
      <c r="C131"/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/>
      <c r="B134"/>
      <c r="C134"/>
      <c r="D134"/>
      <c r="E134"/>
      <c r="F134"/>
      <c r="G134"/>
      <c r="H134"/>
    </row>
    <row r="135" spans="1:8">
      <c r="A135"/>
      <c r="B135"/>
      <c r="C135"/>
      <c r="D135"/>
      <c r="E135"/>
      <c r="F135"/>
      <c r="G13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>
      <c r="A138"/>
      <c r="B138"/>
      <c r="C138"/>
      <c r="D138"/>
      <c r="E138"/>
      <c r="F138"/>
      <c r="G138"/>
      <c r="H138"/>
    </row>
    <row r="139" spans="1:8">
      <c r="A139"/>
      <c r="B139"/>
      <c r="C139"/>
      <c r="D139"/>
      <c r="E139"/>
      <c r="F139"/>
      <c r="G139"/>
      <c r="H139"/>
    </row>
    <row r="140" spans="1:8">
      <c r="A140"/>
      <c r="B140"/>
      <c r="C140"/>
      <c r="D140"/>
      <c r="E140"/>
      <c r="F140"/>
      <c r="G140"/>
      <c r="H140"/>
    </row>
    <row r="141" spans="1:8">
      <c r="A141"/>
      <c r="B141"/>
      <c r="C141"/>
      <c r="D141"/>
      <c r="E141"/>
      <c r="F141"/>
      <c r="G141"/>
      <c r="H141"/>
    </row>
    <row r="142" spans="1:8">
      <c r="A142" s="46"/>
      <c r="B142" s="46"/>
      <c r="C142" s="46"/>
      <c r="D142" s="46"/>
      <c r="E142" s="46"/>
      <c r="F142" s="46"/>
      <c r="G142" s="46"/>
      <c r="H142" s="46"/>
    </row>
  </sheetData>
  <sortState xmlns:xlrd2="http://schemas.microsoft.com/office/spreadsheetml/2017/richdata2" ref="B4:H9">
    <sortCondition ref="B4:B9"/>
  </sortState>
  <mergeCells count="1">
    <mergeCell ref="A1:U1"/>
  </mergeCells>
  <dataValidations count="1">
    <dataValidation allowBlank="1" showInputMessage="1" showErrorMessage="1" sqref="B38:G38 B10:B12 B14:B37 B39:B48 B50:B1048576 B3:H9" xr:uid="{00000000-0002-0000-0400-000000000000}"/>
  </dataValidations>
  <hyperlinks>
    <hyperlink ref="F17" r:id="rId1" xr:uid="{00000000-0004-0000-0400-000000000000}"/>
    <hyperlink ref="G16" r:id="rId2" xr:uid="{00000000-0004-0000-0400-000001000000}"/>
    <hyperlink ref="F16" r:id="rId3" xr:uid="{00000000-0004-0000-0400-000002000000}"/>
    <hyperlink ref="F13" r:id="rId4" xr:uid="{00000000-0004-0000-0400-000003000000}"/>
    <hyperlink ref="F9" r:id="rId5" xr:uid="{00000000-0004-0000-0400-000004000000}"/>
    <hyperlink ref="F6" r:id="rId6" xr:uid="{00000000-0004-0000-0400-000005000000}"/>
    <hyperlink ref="F12" r:id="rId7" xr:uid="{00000000-0004-0000-0400-000006000000}"/>
    <hyperlink ref="F11" r:id="rId8" xr:uid="{00000000-0004-0000-0400-000007000000}"/>
    <hyperlink ref="F19" r:id="rId9" xr:uid="{00000000-0004-0000-0400-000008000000}"/>
    <hyperlink ref="F29" r:id="rId10" xr:uid="{00000000-0004-0000-0400-000009000000}"/>
    <hyperlink ref="F41" r:id="rId11" xr:uid="{00000000-0004-0000-0400-00000A000000}"/>
    <hyperlink ref="F42" r:id="rId12" xr:uid="{00000000-0004-0000-0400-00000B000000}"/>
    <hyperlink ref="F44" r:id="rId13" xr:uid="{00000000-0004-0000-0400-00000C000000}"/>
    <hyperlink ref="F46" r:id="rId14" xr:uid="{00000000-0004-0000-0400-00000D000000}"/>
    <hyperlink ref="F51" r:id="rId15" xr:uid="{00000000-0004-0000-0400-00000E000000}"/>
    <hyperlink ref="F55" r:id="rId16" xr:uid="{00000000-0004-0000-0400-00000F000000}"/>
    <hyperlink ref="F62" r:id="rId17" xr:uid="{00000000-0004-0000-0400-000010000000}"/>
  </hyperlinks>
  <pageMargins left="0.25" right="0.25" top="0.75" bottom="0.75" header="0.3" footer="0.3"/>
  <pageSetup paperSize="9" scale="17" fitToHeight="0" orientation="landscape"/>
  <tableParts count="1">
    <tablePart r:id="rId1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24"/>
  <sheetViews>
    <sheetView topLeftCell="A85" workbookViewId="0">
      <selection activeCell="J9" sqref="J9"/>
    </sheetView>
  </sheetViews>
  <sheetFormatPr defaultColWidth="9" defaultRowHeight="13.5" outlineLevelCol="1"/>
  <cols>
    <col min="2" max="2" width="30.625" style="1" customWidth="1" outlineLevel="1"/>
    <col min="3" max="3" width="33.375" style="1" customWidth="1" outlineLevel="1"/>
  </cols>
  <sheetData>
    <row r="1" spans="1:3" ht="15">
      <c r="A1" s="2" t="s">
        <v>742</v>
      </c>
      <c r="B1"/>
      <c r="C1"/>
    </row>
    <row r="2" spans="1:3" ht="15">
      <c r="B2" s="143" t="s">
        <v>360</v>
      </c>
      <c r="C2" s="143" t="s">
        <v>361</v>
      </c>
    </row>
    <row r="3" spans="1:3" ht="27">
      <c r="A3">
        <v>1</v>
      </c>
      <c r="B3" s="144" t="s">
        <v>283</v>
      </c>
      <c r="C3" s="144" t="s">
        <v>284</v>
      </c>
    </row>
    <row r="4" spans="1:3" ht="27">
      <c r="A4">
        <f>A3+1</f>
        <v>2</v>
      </c>
      <c r="B4" t="s">
        <v>108</v>
      </c>
      <c r="C4" s="144" t="s">
        <v>109</v>
      </c>
    </row>
    <row r="5" spans="1:3" ht="27">
      <c r="A5">
        <f t="shared" ref="A5:A68" si="0">A4+1</f>
        <v>3</v>
      </c>
      <c r="B5" t="s">
        <v>132</v>
      </c>
      <c r="C5" s="144" t="s">
        <v>133</v>
      </c>
    </row>
    <row r="6" spans="1:3" ht="27">
      <c r="A6">
        <f t="shared" si="0"/>
        <v>4</v>
      </c>
      <c r="B6" t="s">
        <v>167</v>
      </c>
      <c r="C6" s="144" t="s">
        <v>168</v>
      </c>
    </row>
    <row r="7" spans="1:3">
      <c r="A7">
        <f t="shared" si="0"/>
        <v>5</v>
      </c>
      <c r="B7" s="145" t="s">
        <v>20</v>
      </c>
      <c r="C7" s="145" t="s">
        <v>21</v>
      </c>
    </row>
    <row r="8" spans="1:3" ht="27">
      <c r="A8">
        <f t="shared" si="0"/>
        <v>6</v>
      </c>
      <c r="B8" s="145" t="s">
        <v>322</v>
      </c>
      <c r="C8" s="146" t="s">
        <v>323</v>
      </c>
    </row>
    <row r="9" spans="1:3">
      <c r="A9">
        <f t="shared" si="0"/>
        <v>7</v>
      </c>
      <c r="B9" t="s">
        <v>34</v>
      </c>
      <c r="C9" t="s">
        <v>35</v>
      </c>
    </row>
    <row r="10" spans="1:3">
      <c r="A10">
        <f t="shared" si="0"/>
        <v>8</v>
      </c>
      <c r="B10" s="145" t="s">
        <v>196</v>
      </c>
      <c r="C10" t="s">
        <v>197</v>
      </c>
    </row>
    <row r="11" spans="1:3">
      <c r="A11">
        <f t="shared" si="0"/>
        <v>9</v>
      </c>
      <c r="B11" t="s">
        <v>328</v>
      </c>
      <c r="C11" t="s">
        <v>329</v>
      </c>
    </row>
    <row r="12" spans="1:3">
      <c r="A12">
        <f t="shared" si="0"/>
        <v>10</v>
      </c>
      <c r="B12" t="s">
        <v>176</v>
      </c>
      <c r="C12" t="s">
        <v>177</v>
      </c>
    </row>
    <row r="13" spans="1:3" ht="27">
      <c r="A13">
        <f t="shared" si="0"/>
        <v>11</v>
      </c>
      <c r="B13" t="s">
        <v>204</v>
      </c>
      <c r="C13" s="144" t="s">
        <v>205</v>
      </c>
    </row>
    <row r="14" spans="1:3" ht="27">
      <c r="A14">
        <f t="shared" si="0"/>
        <v>12</v>
      </c>
      <c r="B14" t="s">
        <v>94</v>
      </c>
      <c r="C14" s="144" t="s">
        <v>95</v>
      </c>
    </row>
    <row r="15" spans="1:3" ht="27">
      <c r="A15">
        <f t="shared" si="0"/>
        <v>13</v>
      </c>
      <c r="B15" t="s">
        <v>158</v>
      </c>
      <c r="C15" s="144" t="s">
        <v>159</v>
      </c>
    </row>
    <row r="16" spans="1:3" ht="27">
      <c r="A16">
        <f t="shared" si="0"/>
        <v>14</v>
      </c>
      <c r="B16" t="s">
        <v>320</v>
      </c>
      <c r="C16" s="144" t="s">
        <v>321</v>
      </c>
    </row>
    <row r="17" spans="1:3" ht="27">
      <c r="A17">
        <f t="shared" si="0"/>
        <v>15</v>
      </c>
      <c r="B17" t="s">
        <v>306</v>
      </c>
      <c r="C17" s="144" t="s">
        <v>307</v>
      </c>
    </row>
    <row r="18" spans="1:3" ht="27">
      <c r="A18">
        <f t="shared" si="0"/>
        <v>16</v>
      </c>
      <c r="B18" t="s">
        <v>173</v>
      </c>
      <c r="C18" s="144" t="s">
        <v>174</v>
      </c>
    </row>
    <row r="19" spans="1:3" ht="27">
      <c r="A19">
        <f t="shared" si="0"/>
        <v>17</v>
      </c>
      <c r="B19" t="s">
        <v>155</v>
      </c>
      <c r="C19" s="144" t="s">
        <v>156</v>
      </c>
    </row>
    <row r="20" spans="1:3" ht="27">
      <c r="A20">
        <f t="shared" si="0"/>
        <v>18</v>
      </c>
      <c r="B20" t="s">
        <v>210</v>
      </c>
      <c r="C20" s="144" t="s">
        <v>211</v>
      </c>
    </row>
    <row r="21" spans="1:3" ht="27">
      <c r="A21">
        <f t="shared" si="0"/>
        <v>19</v>
      </c>
      <c r="B21" t="s">
        <v>164</v>
      </c>
      <c r="C21" s="144" t="s">
        <v>165</v>
      </c>
    </row>
    <row r="22" spans="1:3">
      <c r="A22">
        <f t="shared" si="0"/>
        <v>20</v>
      </c>
      <c r="B22" t="s">
        <v>49</v>
      </c>
      <c r="C22" t="s">
        <v>50</v>
      </c>
    </row>
    <row r="23" spans="1:3">
      <c r="A23">
        <f t="shared" si="0"/>
        <v>21</v>
      </c>
      <c r="B23" t="s">
        <v>26</v>
      </c>
      <c r="C23" t="s">
        <v>27</v>
      </c>
    </row>
    <row r="24" spans="1:3" ht="27">
      <c r="A24">
        <f t="shared" si="0"/>
        <v>22</v>
      </c>
      <c r="B24" t="s">
        <v>244</v>
      </c>
      <c r="C24" s="144" t="s">
        <v>245</v>
      </c>
    </row>
    <row r="25" spans="1:3">
      <c r="A25">
        <f t="shared" si="0"/>
        <v>23</v>
      </c>
      <c r="B25" t="s">
        <v>46</v>
      </c>
      <c r="C25" t="s">
        <v>47</v>
      </c>
    </row>
    <row r="26" spans="1:3" ht="30">
      <c r="A26">
        <f t="shared" si="0"/>
        <v>24</v>
      </c>
      <c r="B26" t="s">
        <v>46</v>
      </c>
      <c r="C26" s="147" t="s">
        <v>47</v>
      </c>
    </row>
    <row r="27" spans="1:3">
      <c r="A27">
        <f t="shared" si="0"/>
        <v>25</v>
      </c>
      <c r="B27" t="s">
        <v>74</v>
      </c>
      <c r="C27" t="s">
        <v>75</v>
      </c>
    </row>
    <row r="28" spans="1:3">
      <c r="A28">
        <f t="shared" si="0"/>
        <v>26</v>
      </c>
      <c r="B28" t="s">
        <v>38</v>
      </c>
      <c r="C28" t="s">
        <v>39</v>
      </c>
    </row>
    <row r="29" spans="1:3">
      <c r="A29">
        <f t="shared" si="0"/>
        <v>27</v>
      </c>
      <c r="B29" t="s">
        <v>55</v>
      </c>
      <c r="C29" t="s">
        <v>56</v>
      </c>
    </row>
    <row r="30" spans="1:3" ht="14.25">
      <c r="A30">
        <f t="shared" si="0"/>
        <v>28</v>
      </c>
      <c r="B30" t="s">
        <v>325</v>
      </c>
      <c r="C30" s="148" t="s">
        <v>326</v>
      </c>
    </row>
    <row r="31" spans="1:3">
      <c r="A31">
        <f t="shared" si="0"/>
        <v>29</v>
      </c>
      <c r="B31" t="s">
        <v>142</v>
      </c>
      <c r="C31" t="s">
        <v>143</v>
      </c>
    </row>
    <row r="32" spans="1:3" ht="30">
      <c r="A32">
        <f t="shared" si="0"/>
        <v>30</v>
      </c>
      <c r="B32" t="s">
        <v>213</v>
      </c>
      <c r="C32" s="147" t="s">
        <v>214</v>
      </c>
    </row>
    <row r="33" spans="1:3" ht="27">
      <c r="A33">
        <f t="shared" si="0"/>
        <v>31</v>
      </c>
      <c r="B33" t="s">
        <v>123</v>
      </c>
      <c r="C33" s="144" t="s">
        <v>124</v>
      </c>
    </row>
    <row r="34" spans="1:3" ht="27">
      <c r="A34">
        <f t="shared" si="0"/>
        <v>32</v>
      </c>
      <c r="B34" t="s">
        <v>291</v>
      </c>
      <c r="C34" s="144" t="s">
        <v>292</v>
      </c>
    </row>
    <row r="35" spans="1:3" ht="27">
      <c r="A35">
        <f t="shared" si="0"/>
        <v>33</v>
      </c>
      <c r="B35" t="s">
        <v>161</v>
      </c>
      <c r="C35" s="144" t="s">
        <v>162</v>
      </c>
    </row>
    <row r="36" spans="1:3" ht="27">
      <c r="A36">
        <f t="shared" si="0"/>
        <v>34</v>
      </c>
      <c r="B36" t="s">
        <v>77</v>
      </c>
      <c r="C36" s="144" t="s">
        <v>78</v>
      </c>
    </row>
    <row r="37" spans="1:3">
      <c r="A37">
        <f t="shared" si="0"/>
        <v>35</v>
      </c>
      <c r="B37" t="s">
        <v>29</v>
      </c>
      <c r="C37" t="s">
        <v>30</v>
      </c>
    </row>
    <row r="38" spans="1:3">
      <c r="A38">
        <f t="shared" si="0"/>
        <v>36</v>
      </c>
      <c r="B38" t="s">
        <v>43</v>
      </c>
      <c r="C38" t="s">
        <v>44</v>
      </c>
    </row>
    <row r="39" spans="1:3" ht="27">
      <c r="A39">
        <f t="shared" si="0"/>
        <v>37</v>
      </c>
      <c r="B39" t="s">
        <v>312</v>
      </c>
      <c r="C39" s="144" t="s">
        <v>313</v>
      </c>
    </row>
    <row r="40" spans="1:3" ht="27">
      <c r="A40">
        <f t="shared" si="0"/>
        <v>38</v>
      </c>
      <c r="B40" t="s">
        <v>314</v>
      </c>
      <c r="C40" s="144" t="s">
        <v>315</v>
      </c>
    </row>
    <row r="41" spans="1:3">
      <c r="A41">
        <f t="shared" si="0"/>
        <v>39</v>
      </c>
      <c r="B41" s="145" t="s">
        <v>126</v>
      </c>
      <c r="C41" s="145" t="s">
        <v>127</v>
      </c>
    </row>
    <row r="42" spans="1:3" ht="27">
      <c r="A42">
        <f t="shared" si="0"/>
        <v>40</v>
      </c>
      <c r="B42" t="s">
        <v>344</v>
      </c>
      <c r="C42" s="144" t="s">
        <v>345</v>
      </c>
    </row>
    <row r="43" spans="1:3" ht="27">
      <c r="A43">
        <f t="shared" si="0"/>
        <v>41</v>
      </c>
      <c r="B43" t="s">
        <v>216</v>
      </c>
      <c r="C43" s="144" t="s">
        <v>217</v>
      </c>
    </row>
    <row r="44" spans="1:3">
      <c r="A44">
        <f t="shared" si="0"/>
        <v>42</v>
      </c>
      <c r="B44" s="145" t="s">
        <v>271</v>
      </c>
      <c r="C44" t="s">
        <v>272</v>
      </c>
    </row>
    <row r="45" spans="1:3" ht="27">
      <c r="A45">
        <f t="shared" si="0"/>
        <v>43</v>
      </c>
      <c r="B45" t="s">
        <v>296</v>
      </c>
      <c r="C45" s="144" t="s">
        <v>297</v>
      </c>
    </row>
    <row r="46" spans="1:3">
      <c r="A46">
        <f t="shared" si="0"/>
        <v>44</v>
      </c>
      <c r="B46" t="s">
        <v>36</v>
      </c>
      <c r="C46" t="s">
        <v>37</v>
      </c>
    </row>
    <row r="47" spans="1:3" ht="27">
      <c r="A47">
        <f t="shared" si="0"/>
        <v>45</v>
      </c>
      <c r="B47" t="s">
        <v>232</v>
      </c>
      <c r="C47" s="144" t="s">
        <v>233</v>
      </c>
    </row>
    <row r="48" spans="1:3" ht="15">
      <c r="A48">
        <f t="shared" si="0"/>
        <v>46</v>
      </c>
      <c r="B48" t="s">
        <v>61</v>
      </c>
      <c r="C48" s="149" t="s">
        <v>62</v>
      </c>
    </row>
    <row r="49" spans="1:3" ht="27">
      <c r="A49">
        <f t="shared" si="0"/>
        <v>47</v>
      </c>
      <c r="B49" t="s">
        <v>120</v>
      </c>
      <c r="C49" s="144" t="s">
        <v>121</v>
      </c>
    </row>
    <row r="50" spans="1:3">
      <c r="A50">
        <f t="shared" si="0"/>
        <v>48</v>
      </c>
      <c r="B50" t="s">
        <v>248</v>
      </c>
      <c r="C50" t="s">
        <v>249</v>
      </c>
    </row>
    <row r="51" spans="1:3">
      <c r="A51">
        <f t="shared" si="0"/>
        <v>49</v>
      </c>
      <c r="B51" t="s">
        <v>40</v>
      </c>
      <c r="C51" t="s">
        <v>41</v>
      </c>
    </row>
    <row r="52" spans="1:3" ht="27">
      <c r="A52">
        <f t="shared" si="0"/>
        <v>50</v>
      </c>
      <c r="B52" t="s">
        <v>308</v>
      </c>
      <c r="C52" s="144" t="s">
        <v>309</v>
      </c>
    </row>
    <row r="53" spans="1:3">
      <c r="A53">
        <f t="shared" si="0"/>
        <v>51</v>
      </c>
      <c r="B53" t="s">
        <v>52</v>
      </c>
      <c r="C53" t="s">
        <v>53</v>
      </c>
    </row>
    <row r="54" spans="1:3" ht="27">
      <c r="A54">
        <f t="shared" si="0"/>
        <v>52</v>
      </c>
      <c r="B54" t="s">
        <v>149</v>
      </c>
      <c r="C54" s="144" t="s">
        <v>150</v>
      </c>
    </row>
    <row r="55" spans="1:3" ht="27">
      <c r="A55">
        <f t="shared" si="0"/>
        <v>53</v>
      </c>
      <c r="B55" t="s">
        <v>129</v>
      </c>
      <c r="C55" s="144" t="s">
        <v>130</v>
      </c>
    </row>
    <row r="56" spans="1:3">
      <c r="A56">
        <f t="shared" si="0"/>
        <v>54</v>
      </c>
      <c r="B56" s="145" t="s">
        <v>12</v>
      </c>
      <c r="C56" t="s">
        <v>13</v>
      </c>
    </row>
    <row r="57" spans="1:3">
      <c r="A57">
        <f t="shared" si="0"/>
        <v>55</v>
      </c>
      <c r="B57" t="s">
        <v>239</v>
      </c>
      <c r="C57" t="s">
        <v>240</v>
      </c>
    </row>
    <row r="58" spans="1:3">
      <c r="A58">
        <f t="shared" si="0"/>
        <v>56</v>
      </c>
      <c r="B58" s="145" t="s">
        <v>265</v>
      </c>
      <c r="C58" s="145" t="s">
        <v>266</v>
      </c>
    </row>
    <row r="59" spans="1:3">
      <c r="A59">
        <f t="shared" si="0"/>
        <v>57</v>
      </c>
      <c r="B59" s="145" t="s">
        <v>105</v>
      </c>
      <c r="C59" t="s">
        <v>106</v>
      </c>
    </row>
    <row r="60" spans="1:3" ht="27">
      <c r="A60">
        <f t="shared" si="0"/>
        <v>58</v>
      </c>
      <c r="B60" t="s">
        <v>222</v>
      </c>
      <c r="C60" s="144" t="s">
        <v>223</v>
      </c>
    </row>
    <row r="61" spans="1:3" ht="27">
      <c r="A61">
        <f t="shared" si="0"/>
        <v>59</v>
      </c>
      <c r="B61" t="s">
        <v>207</v>
      </c>
      <c r="C61" s="144" t="s">
        <v>208</v>
      </c>
    </row>
    <row r="62" spans="1:3">
      <c r="A62">
        <f t="shared" si="0"/>
        <v>60</v>
      </c>
      <c r="B62" t="s">
        <v>23</v>
      </c>
      <c r="C62" t="s">
        <v>24</v>
      </c>
    </row>
    <row r="63" spans="1:3">
      <c r="A63">
        <f t="shared" si="0"/>
        <v>61</v>
      </c>
      <c r="B63" t="s">
        <v>219</v>
      </c>
      <c r="C63" t="s">
        <v>220</v>
      </c>
    </row>
    <row r="64" spans="1:3">
      <c r="A64">
        <f t="shared" si="0"/>
        <v>62</v>
      </c>
      <c r="B64" t="s">
        <v>170</v>
      </c>
      <c r="C64" t="s">
        <v>343</v>
      </c>
    </row>
    <row r="65" spans="1:3" ht="27">
      <c r="A65">
        <f t="shared" si="0"/>
        <v>63</v>
      </c>
      <c r="B65" t="s">
        <v>247</v>
      </c>
      <c r="C65" s="144" t="s">
        <v>121</v>
      </c>
    </row>
    <row r="66" spans="1:3" ht="27">
      <c r="A66">
        <f t="shared" si="0"/>
        <v>64</v>
      </c>
      <c r="B66" t="s">
        <v>86</v>
      </c>
      <c r="C66" s="144" t="s">
        <v>87</v>
      </c>
    </row>
    <row r="67" spans="1:3">
      <c r="A67">
        <f t="shared" si="0"/>
        <v>65</v>
      </c>
      <c r="B67" s="145" t="s">
        <v>199</v>
      </c>
      <c r="C67" t="s">
        <v>200</v>
      </c>
    </row>
    <row r="68" spans="1:3">
      <c r="A68">
        <f t="shared" si="0"/>
        <v>66</v>
      </c>
      <c r="B68" t="s">
        <v>80</v>
      </c>
      <c r="C68" t="s">
        <v>81</v>
      </c>
    </row>
    <row r="69" spans="1:3">
      <c r="A69">
        <f t="shared" ref="A69:A112" si="1">A68+1</f>
        <v>67</v>
      </c>
      <c r="B69" t="s">
        <v>288</v>
      </c>
      <c r="C69" t="s">
        <v>289</v>
      </c>
    </row>
    <row r="70" spans="1:3">
      <c r="A70">
        <f t="shared" si="1"/>
        <v>68</v>
      </c>
      <c r="B70" s="145" t="s">
        <v>268</v>
      </c>
      <c r="C70" s="145" t="s">
        <v>269</v>
      </c>
    </row>
    <row r="71" spans="1:3">
      <c r="A71">
        <f t="shared" si="1"/>
        <v>69</v>
      </c>
      <c r="B71" t="s">
        <v>235</v>
      </c>
      <c r="C71" t="s">
        <v>236</v>
      </c>
    </row>
    <row r="72" spans="1:3">
      <c r="A72">
        <f t="shared" si="1"/>
        <v>70</v>
      </c>
      <c r="B72" t="s">
        <v>58</v>
      </c>
      <c r="C72" t="s">
        <v>59</v>
      </c>
    </row>
    <row r="73" spans="1:3" ht="27">
      <c r="A73">
        <f t="shared" si="1"/>
        <v>71</v>
      </c>
      <c r="B73" t="s">
        <v>300</v>
      </c>
      <c r="C73" s="144" t="s">
        <v>301</v>
      </c>
    </row>
    <row r="74" spans="1:3">
      <c r="A74">
        <f t="shared" si="1"/>
        <v>72</v>
      </c>
      <c r="B74" t="s">
        <v>18</v>
      </c>
      <c r="C74" t="s">
        <v>19</v>
      </c>
    </row>
    <row r="75" spans="1:3">
      <c r="A75">
        <f t="shared" si="1"/>
        <v>73</v>
      </c>
      <c r="B75" s="145" t="s">
        <v>256</v>
      </c>
      <c r="C75" t="s">
        <v>257</v>
      </c>
    </row>
    <row r="76" spans="1:3">
      <c r="A76">
        <f t="shared" si="1"/>
        <v>74</v>
      </c>
      <c r="B76" s="145" t="s">
        <v>262</v>
      </c>
      <c r="C76" s="145" t="s">
        <v>263</v>
      </c>
    </row>
    <row r="77" spans="1:3" ht="27">
      <c r="A77">
        <f t="shared" si="1"/>
        <v>75</v>
      </c>
      <c r="B77" t="s">
        <v>317</v>
      </c>
      <c r="C77" s="144" t="s">
        <v>318</v>
      </c>
    </row>
    <row r="78" spans="1:3">
      <c r="A78">
        <f t="shared" si="1"/>
        <v>76</v>
      </c>
      <c r="B78" s="145" t="s">
        <v>277</v>
      </c>
      <c r="C78" t="s">
        <v>278</v>
      </c>
    </row>
    <row r="79" spans="1:3" ht="27">
      <c r="A79">
        <f t="shared" si="1"/>
        <v>77</v>
      </c>
      <c r="B79" t="s">
        <v>242</v>
      </c>
      <c r="C79" s="144" t="s">
        <v>243</v>
      </c>
    </row>
    <row r="80" spans="1:3" ht="30">
      <c r="A80">
        <f t="shared" si="1"/>
        <v>78</v>
      </c>
      <c r="B80" t="s">
        <v>152</v>
      </c>
      <c r="C80" s="150" t="s">
        <v>153</v>
      </c>
    </row>
    <row r="81" spans="1:3">
      <c r="A81">
        <f t="shared" si="1"/>
        <v>79</v>
      </c>
      <c r="B81" s="145" t="s">
        <v>274</v>
      </c>
      <c r="C81" t="s">
        <v>275</v>
      </c>
    </row>
    <row r="82" spans="1:3" ht="27">
      <c r="A82">
        <f t="shared" si="1"/>
        <v>80</v>
      </c>
      <c r="B82" t="s">
        <v>352</v>
      </c>
      <c r="C82" s="144" t="s">
        <v>353</v>
      </c>
    </row>
    <row r="83" spans="1:3" ht="27">
      <c r="A83">
        <f t="shared" si="1"/>
        <v>81</v>
      </c>
      <c r="B83" t="s">
        <v>226</v>
      </c>
      <c r="C83" s="144" t="s">
        <v>227</v>
      </c>
    </row>
    <row r="84" spans="1:3" ht="27">
      <c r="A84">
        <f t="shared" si="1"/>
        <v>82</v>
      </c>
      <c r="B84" t="s">
        <v>83</v>
      </c>
      <c r="C84" s="144" t="s">
        <v>84</v>
      </c>
    </row>
    <row r="85" spans="1:3" ht="27">
      <c r="A85">
        <f t="shared" si="1"/>
        <v>83</v>
      </c>
      <c r="B85" t="s">
        <v>186</v>
      </c>
      <c r="C85" s="144" t="s">
        <v>187</v>
      </c>
    </row>
    <row r="86" spans="1:3" ht="15">
      <c r="A86">
        <f t="shared" si="1"/>
        <v>84</v>
      </c>
      <c r="B86" s="151" t="s">
        <v>98</v>
      </c>
      <c r="C86" t="s">
        <v>99</v>
      </c>
    </row>
    <row r="87" spans="1:3" ht="27">
      <c r="A87">
        <f t="shared" si="1"/>
        <v>85</v>
      </c>
      <c r="B87" t="s">
        <v>111</v>
      </c>
      <c r="C87" s="144" t="s">
        <v>112</v>
      </c>
    </row>
    <row r="88" spans="1:3">
      <c r="A88">
        <f t="shared" si="1"/>
        <v>86</v>
      </c>
      <c r="B88" t="s">
        <v>334</v>
      </c>
      <c r="C88" t="s">
        <v>335</v>
      </c>
    </row>
    <row r="89" spans="1:3">
      <c r="A89">
        <f t="shared" si="1"/>
        <v>87</v>
      </c>
      <c r="B89" t="s">
        <v>182</v>
      </c>
      <c r="C89" t="s">
        <v>183</v>
      </c>
    </row>
    <row r="90" spans="1:3">
      <c r="A90">
        <f t="shared" si="1"/>
        <v>88</v>
      </c>
      <c r="B90" s="145" t="s">
        <v>259</v>
      </c>
      <c r="C90" t="s">
        <v>260</v>
      </c>
    </row>
    <row r="91" spans="1:3">
      <c r="A91">
        <f t="shared" si="1"/>
        <v>89</v>
      </c>
      <c r="B91" t="s">
        <v>179</v>
      </c>
      <c r="C91" t="s">
        <v>180</v>
      </c>
    </row>
    <row r="92" spans="1:3" ht="27">
      <c r="A92">
        <f t="shared" si="1"/>
        <v>90</v>
      </c>
      <c r="B92" t="s">
        <v>251</v>
      </c>
      <c r="C92" s="144" t="s">
        <v>252</v>
      </c>
    </row>
    <row r="93" spans="1:3" ht="27">
      <c r="A93">
        <f t="shared" si="1"/>
        <v>91</v>
      </c>
      <c r="B93" s="145" t="s">
        <v>192</v>
      </c>
      <c r="C93" s="146" t="s">
        <v>193</v>
      </c>
    </row>
    <row r="94" spans="1:3" ht="27">
      <c r="A94">
        <f t="shared" si="1"/>
        <v>92</v>
      </c>
      <c r="B94" t="s">
        <v>114</v>
      </c>
      <c r="C94" s="144" t="s">
        <v>115</v>
      </c>
    </row>
    <row r="95" spans="1:3" ht="27">
      <c r="A95">
        <f t="shared" si="1"/>
        <v>93</v>
      </c>
      <c r="B95" t="s">
        <v>349</v>
      </c>
      <c r="C95" s="144" t="s">
        <v>350</v>
      </c>
    </row>
    <row r="96" spans="1:3">
      <c r="A96">
        <f t="shared" si="1"/>
        <v>94</v>
      </c>
      <c r="B96" t="s">
        <v>71</v>
      </c>
      <c r="C96" t="s">
        <v>72</v>
      </c>
    </row>
    <row r="97" spans="1:3">
      <c r="A97">
        <f t="shared" si="1"/>
        <v>95</v>
      </c>
      <c r="B97" t="s">
        <v>32</v>
      </c>
      <c r="C97" t="s">
        <v>33</v>
      </c>
    </row>
    <row r="98" spans="1:3">
      <c r="A98">
        <f t="shared" si="1"/>
        <v>96</v>
      </c>
      <c r="B98" t="s">
        <v>8</v>
      </c>
      <c r="C98" t="s">
        <v>9</v>
      </c>
    </row>
    <row r="99" spans="1:3" ht="40.5">
      <c r="A99">
        <f t="shared" si="1"/>
        <v>97</v>
      </c>
      <c r="B99" t="s">
        <v>337</v>
      </c>
      <c r="C99" s="144" t="s">
        <v>338</v>
      </c>
    </row>
    <row r="100" spans="1:3">
      <c r="A100">
        <f t="shared" si="1"/>
        <v>98</v>
      </c>
      <c r="B100" s="145" t="s">
        <v>280</v>
      </c>
      <c r="C100" t="s">
        <v>281</v>
      </c>
    </row>
    <row r="101" spans="1:3" ht="27">
      <c r="A101">
        <f t="shared" si="1"/>
        <v>99</v>
      </c>
      <c r="B101" t="s">
        <v>117</v>
      </c>
      <c r="C101" s="144" t="s">
        <v>118</v>
      </c>
    </row>
    <row r="102" spans="1:3" ht="27">
      <c r="A102">
        <f t="shared" si="1"/>
        <v>100</v>
      </c>
      <c r="B102" t="s">
        <v>229</v>
      </c>
      <c r="C102" s="144" t="s">
        <v>230</v>
      </c>
    </row>
    <row r="103" spans="1:3" ht="27">
      <c r="A103">
        <f t="shared" si="1"/>
        <v>101</v>
      </c>
      <c r="B103" t="s">
        <v>68</v>
      </c>
      <c r="C103" s="144" t="s">
        <v>69</v>
      </c>
    </row>
    <row r="104" spans="1:3" ht="27">
      <c r="A104">
        <f t="shared" si="1"/>
        <v>102</v>
      </c>
      <c r="B104" t="s">
        <v>145</v>
      </c>
      <c r="C104" s="144" t="s">
        <v>146</v>
      </c>
    </row>
    <row r="105" spans="1:3">
      <c r="A105">
        <f t="shared" si="1"/>
        <v>103</v>
      </c>
      <c r="B105" t="s">
        <v>347</v>
      </c>
      <c r="C105" t="s">
        <v>348</v>
      </c>
    </row>
    <row r="106" spans="1:3">
      <c r="A106">
        <f t="shared" si="1"/>
        <v>104</v>
      </c>
      <c r="B106" s="145" t="s">
        <v>91</v>
      </c>
      <c r="C106" s="145" t="s">
        <v>92</v>
      </c>
    </row>
    <row r="107" spans="1:3">
      <c r="A107">
        <f t="shared" si="1"/>
        <v>105</v>
      </c>
      <c r="B107" s="145" t="s">
        <v>15</v>
      </c>
      <c r="C107" s="145" t="s">
        <v>16</v>
      </c>
    </row>
    <row r="108" spans="1:3" ht="27">
      <c r="A108">
        <f t="shared" si="1"/>
        <v>106</v>
      </c>
      <c r="B108" t="s">
        <v>139</v>
      </c>
      <c r="C108" s="144" t="s">
        <v>140</v>
      </c>
    </row>
    <row r="109" spans="1:3" ht="27">
      <c r="A109">
        <f t="shared" si="1"/>
        <v>107</v>
      </c>
      <c r="B109" t="s">
        <v>303</v>
      </c>
      <c r="C109" s="144" t="s">
        <v>304</v>
      </c>
    </row>
    <row r="110" spans="1:3">
      <c r="A110">
        <f t="shared" si="1"/>
        <v>108</v>
      </c>
      <c r="B110" t="s">
        <v>286</v>
      </c>
      <c r="C110" t="s">
        <v>136</v>
      </c>
    </row>
    <row r="111" spans="1:3">
      <c r="A111">
        <f t="shared" si="1"/>
        <v>109</v>
      </c>
      <c r="B111" t="s">
        <v>135</v>
      </c>
      <c r="C111" t="s">
        <v>136</v>
      </c>
    </row>
    <row r="112" spans="1:3">
      <c r="A112">
        <f t="shared" si="1"/>
        <v>110</v>
      </c>
      <c r="B112" t="s">
        <v>65</v>
      </c>
      <c r="C112" t="s">
        <v>66</v>
      </c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</sheetData>
  <sortState xmlns:xlrd2="http://schemas.microsoft.com/office/spreadsheetml/2017/richdata2" ref="B3:C112">
    <sortCondition ref="B3:B112"/>
  </sortState>
  <dataValidations count="1">
    <dataValidation allowBlank="1" showInputMessage="1" showErrorMessage="1" sqref="B28:C28 B34:C34 B101:C101 B2:C3 B23:C24 B53:C55 B75:C79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D125"/>
  <sheetViews>
    <sheetView zoomScale="70" zoomScaleNormal="70" workbookViewId="0">
      <selection activeCell="G16" sqref="G16"/>
    </sheetView>
  </sheetViews>
  <sheetFormatPr defaultColWidth="9" defaultRowHeight="21" outlineLevelCol="1"/>
  <cols>
    <col min="1" max="1" width="8.875" style="4"/>
    <col min="2" max="4" width="30.625" style="13" customWidth="1" outlineLevel="1"/>
    <col min="5" max="5" width="40.875" style="13" customWidth="1" outlineLevel="1"/>
    <col min="6" max="6" width="47.5" style="13" bestFit="1" customWidth="1" outlineLevel="1"/>
    <col min="7" max="7" width="26.625" style="13" customWidth="1" outlineLevel="1"/>
    <col min="8" max="8" width="19.375" style="13" customWidth="1" outlineLevel="1"/>
    <col min="9" max="9" width="9" customWidth="1"/>
    <col min="10" max="13" width="10.125" customWidth="1"/>
    <col min="14" max="14" width="9.5" style="4" customWidth="1"/>
    <col min="15" max="17" width="9.375" style="4" customWidth="1"/>
    <col min="18" max="23" width="9" customWidth="1"/>
    <col min="24" max="26" width="10.5" customWidth="1"/>
    <col min="27" max="27" width="9" style="47"/>
    <col min="28" max="30" width="10.5" style="47" bestFit="1" customWidth="1"/>
  </cols>
  <sheetData>
    <row r="1" spans="1:30" ht="25.15" customHeight="1">
      <c r="B1" s="654" t="s">
        <v>743</v>
      </c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</row>
    <row r="2" spans="1:30">
      <c r="B2" s="113"/>
      <c r="C2" s="113"/>
      <c r="D2" s="113"/>
      <c r="E2" s="113"/>
      <c r="F2" s="113"/>
      <c r="G2" s="113"/>
      <c r="H2" s="113"/>
      <c r="I2" s="3"/>
      <c r="J2" s="3"/>
      <c r="K2" s="3"/>
      <c r="L2" s="3"/>
    </row>
    <row r="3" spans="1:30" ht="30" customHeight="1">
      <c r="A3" s="12"/>
      <c r="B3" s="6" t="s">
        <v>357</v>
      </c>
      <c r="C3" s="6" t="s">
        <v>358</v>
      </c>
      <c r="D3" s="6" t="s">
        <v>359</v>
      </c>
      <c r="E3" s="574" t="s">
        <v>360</v>
      </c>
      <c r="F3" s="6" t="s">
        <v>361</v>
      </c>
      <c r="G3" s="575" t="s">
        <v>362</v>
      </c>
      <c r="H3" s="5" t="s">
        <v>363</v>
      </c>
      <c r="I3" s="11">
        <v>46145</v>
      </c>
      <c r="J3" s="11">
        <v>46152</v>
      </c>
      <c r="K3" s="11">
        <v>46159</v>
      </c>
      <c r="L3" s="11">
        <v>46166</v>
      </c>
      <c r="M3" s="11">
        <v>46173</v>
      </c>
      <c r="N3" s="11">
        <v>46180</v>
      </c>
      <c r="O3" s="11">
        <v>46187</v>
      </c>
      <c r="P3" s="11">
        <f>O3+7</f>
        <v>46194</v>
      </c>
      <c r="Q3" s="11">
        <f>P3+7</f>
        <v>46201</v>
      </c>
      <c r="R3" s="11">
        <f>Q3+7</f>
        <v>46208</v>
      </c>
      <c r="S3" s="11">
        <f t="shared" ref="S3:V3" si="0">R3+7</f>
        <v>46215</v>
      </c>
      <c r="T3" s="11">
        <f t="shared" si="0"/>
        <v>46222</v>
      </c>
      <c r="U3" s="11">
        <f t="shared" si="0"/>
        <v>46229</v>
      </c>
      <c r="V3" s="11">
        <f t="shared" si="0"/>
        <v>46236</v>
      </c>
      <c r="W3" s="11">
        <f t="shared" ref="W3:Z3" si="1">V3+7</f>
        <v>46243</v>
      </c>
      <c r="X3" s="11">
        <f t="shared" si="1"/>
        <v>46250</v>
      </c>
      <c r="Y3" s="11">
        <f t="shared" si="1"/>
        <v>46257</v>
      </c>
      <c r="Z3" s="11">
        <f t="shared" si="1"/>
        <v>46264</v>
      </c>
      <c r="AA3" s="11">
        <f>Z3+7</f>
        <v>46271</v>
      </c>
      <c r="AB3" s="11">
        <f t="shared" ref="AB3:AD3" si="2">AA3+7</f>
        <v>46278</v>
      </c>
      <c r="AC3" s="11">
        <f t="shared" si="2"/>
        <v>46285</v>
      </c>
      <c r="AD3" s="11">
        <f t="shared" si="2"/>
        <v>46292</v>
      </c>
    </row>
    <row r="4" spans="1:30" ht="30" customHeight="1">
      <c r="A4" s="12">
        <v>1</v>
      </c>
      <c r="B4" s="114" t="s">
        <v>671</v>
      </c>
      <c r="C4" s="114" t="s">
        <v>672</v>
      </c>
      <c r="D4" s="114" t="s">
        <v>378</v>
      </c>
      <c r="E4" s="115" t="s">
        <v>300</v>
      </c>
      <c r="F4" s="558" t="s">
        <v>301</v>
      </c>
      <c r="G4" s="561" t="s">
        <v>302</v>
      </c>
      <c r="H4" s="115" t="s">
        <v>255</v>
      </c>
      <c r="I4" s="586"/>
      <c r="J4" s="586"/>
      <c r="K4" s="586"/>
      <c r="L4" s="587" t="s">
        <v>370</v>
      </c>
      <c r="M4" s="587" t="s">
        <v>370</v>
      </c>
      <c r="N4" s="587" t="s">
        <v>370</v>
      </c>
      <c r="O4" s="587" t="s">
        <v>370</v>
      </c>
      <c r="P4" s="588"/>
      <c r="Q4" s="589"/>
      <c r="R4" s="588"/>
      <c r="S4" s="588"/>
      <c r="T4" s="588"/>
      <c r="U4" s="588"/>
      <c r="V4" s="590"/>
      <c r="W4" s="590"/>
      <c r="X4" s="590"/>
      <c r="Y4" s="590"/>
      <c r="Z4" s="590"/>
      <c r="AA4" s="13"/>
      <c r="AB4" s="13"/>
      <c r="AC4" s="13"/>
      <c r="AD4" s="13"/>
    </row>
    <row r="5" spans="1:30" ht="30" customHeight="1">
      <c r="A5" s="12">
        <f>A4+1</f>
        <v>2</v>
      </c>
      <c r="B5" s="116" t="s">
        <v>642</v>
      </c>
      <c r="C5" s="116" t="s">
        <v>471</v>
      </c>
      <c r="D5" s="116" t="s">
        <v>373</v>
      </c>
      <c r="E5" s="117" t="s">
        <v>114</v>
      </c>
      <c r="F5" s="567" t="s">
        <v>198</v>
      </c>
      <c r="G5" s="119" t="s">
        <v>254</v>
      </c>
      <c r="H5" s="120" t="s">
        <v>255</v>
      </c>
      <c r="I5" s="591"/>
      <c r="J5" s="591"/>
      <c r="K5" s="591"/>
      <c r="L5" s="591"/>
      <c r="M5" s="591" t="s">
        <v>370</v>
      </c>
      <c r="N5" s="591" t="s">
        <v>370</v>
      </c>
      <c r="O5" s="591" t="s">
        <v>370</v>
      </c>
      <c r="P5" s="592"/>
      <c r="Q5" s="593"/>
      <c r="R5" s="592"/>
      <c r="S5" s="592"/>
      <c r="T5" s="592"/>
      <c r="U5" s="592"/>
      <c r="V5" s="13"/>
      <c r="W5" s="13"/>
      <c r="X5" s="13"/>
      <c r="Y5" s="13"/>
      <c r="Z5" s="13"/>
      <c r="AA5" s="13"/>
      <c r="AB5" s="13"/>
      <c r="AC5" s="13"/>
      <c r="AD5" s="13"/>
    </row>
    <row r="6" spans="1:30" ht="30" customHeight="1">
      <c r="A6" s="12">
        <f t="shared" ref="A6:A59" si="3">A5+1</f>
        <v>3</v>
      </c>
      <c r="B6" s="116" t="s">
        <v>646</v>
      </c>
      <c r="C6" s="116" t="s">
        <v>647</v>
      </c>
      <c r="D6" s="116" t="s">
        <v>378</v>
      </c>
      <c r="E6" s="117" t="s">
        <v>259</v>
      </c>
      <c r="F6" s="556" t="s">
        <v>260</v>
      </c>
      <c r="G6" s="119" t="s">
        <v>261</v>
      </c>
      <c r="H6" s="120" t="s">
        <v>255</v>
      </c>
      <c r="I6" s="591"/>
      <c r="J6" s="591"/>
      <c r="K6" s="591"/>
      <c r="L6" s="591" t="s">
        <v>370</v>
      </c>
      <c r="M6" s="594" t="s">
        <v>370</v>
      </c>
      <c r="N6" s="591" t="s">
        <v>370</v>
      </c>
      <c r="O6" s="591"/>
      <c r="P6" s="592"/>
      <c r="Q6" s="593" t="s">
        <v>370</v>
      </c>
      <c r="R6" s="592" t="s">
        <v>370</v>
      </c>
      <c r="S6" s="592" t="s">
        <v>370</v>
      </c>
      <c r="T6" s="592" t="s">
        <v>370</v>
      </c>
      <c r="U6" s="592"/>
      <c r="V6" s="13"/>
      <c r="W6" s="13"/>
      <c r="X6" s="13" t="s">
        <v>370</v>
      </c>
      <c r="Y6" s="13"/>
      <c r="Z6" s="13"/>
      <c r="AA6" s="13"/>
      <c r="AB6" s="13"/>
      <c r="AC6" s="13"/>
      <c r="AD6" s="13"/>
    </row>
    <row r="7" spans="1:30" ht="30" customHeight="1">
      <c r="A7" s="12">
        <f t="shared" si="3"/>
        <v>4</v>
      </c>
      <c r="B7" s="116" t="s">
        <v>689</v>
      </c>
      <c r="C7" s="116" t="s">
        <v>690</v>
      </c>
      <c r="D7" s="116" t="s">
        <v>373</v>
      </c>
      <c r="E7" s="117" t="s">
        <v>322</v>
      </c>
      <c r="F7" s="557" t="s">
        <v>323</v>
      </c>
      <c r="G7" s="119" t="s">
        <v>324</v>
      </c>
      <c r="H7" s="120" t="s">
        <v>255</v>
      </c>
      <c r="I7" s="591"/>
      <c r="J7" s="591"/>
      <c r="K7" s="591"/>
      <c r="L7" s="591"/>
      <c r="M7" s="591"/>
      <c r="N7" s="591"/>
      <c r="O7" s="591"/>
      <c r="P7" s="592"/>
      <c r="Q7" s="593"/>
      <c r="R7" s="592"/>
      <c r="S7" s="592" t="s">
        <v>370</v>
      </c>
      <c r="T7" s="592" t="s">
        <v>370</v>
      </c>
      <c r="U7" s="592" t="s">
        <v>370</v>
      </c>
      <c r="V7" s="13"/>
      <c r="W7" s="13"/>
      <c r="X7" s="13"/>
      <c r="Y7" s="13"/>
      <c r="Z7" s="13"/>
      <c r="AA7" s="13"/>
      <c r="AB7" s="13"/>
      <c r="AC7" s="13"/>
      <c r="AD7" s="13"/>
    </row>
    <row r="8" spans="1:30" ht="30" customHeight="1">
      <c r="A8" s="12">
        <f t="shared" si="3"/>
        <v>5</v>
      </c>
      <c r="B8" s="126" t="s">
        <v>736</v>
      </c>
      <c r="C8" s="126"/>
      <c r="D8" s="126"/>
      <c r="E8" s="128"/>
      <c r="F8" s="567"/>
      <c r="G8" s="569"/>
      <c r="H8" s="120" t="s">
        <v>255</v>
      </c>
      <c r="I8" s="591"/>
      <c r="J8" s="591"/>
      <c r="K8" s="591"/>
      <c r="L8" s="591"/>
      <c r="M8" s="591"/>
      <c r="N8" s="591"/>
      <c r="O8" s="591"/>
      <c r="P8" s="592"/>
      <c r="Q8" s="593" t="s">
        <v>370</v>
      </c>
      <c r="R8" s="592" t="s">
        <v>370</v>
      </c>
      <c r="S8" s="595" t="s">
        <v>370</v>
      </c>
      <c r="T8" s="592" t="s">
        <v>370</v>
      </c>
      <c r="U8" s="592" t="s">
        <v>370</v>
      </c>
      <c r="V8" s="13" t="s">
        <v>370</v>
      </c>
      <c r="W8" s="13"/>
      <c r="X8" s="13"/>
      <c r="Y8" s="13"/>
      <c r="Z8" s="13"/>
      <c r="AA8" s="13"/>
      <c r="AB8" s="13"/>
      <c r="AC8" s="13"/>
      <c r="AD8" s="13"/>
    </row>
    <row r="9" spans="1:30" ht="30" customHeight="1">
      <c r="A9" s="12">
        <f t="shared" si="3"/>
        <v>6</v>
      </c>
      <c r="B9" s="126" t="s">
        <v>724</v>
      </c>
      <c r="C9" s="126" t="s">
        <v>375</v>
      </c>
      <c r="D9" s="126" t="s">
        <v>404</v>
      </c>
      <c r="E9" s="128" t="s">
        <v>725</v>
      </c>
      <c r="F9" s="567" t="s">
        <v>726</v>
      </c>
      <c r="G9" s="570" t="s">
        <v>727</v>
      </c>
      <c r="H9" s="120" t="s">
        <v>255</v>
      </c>
      <c r="I9" s="591"/>
      <c r="J9" s="591" t="s">
        <v>370</v>
      </c>
      <c r="K9" s="591"/>
      <c r="L9" s="591" t="s">
        <v>370</v>
      </c>
      <c r="M9" s="591" t="s">
        <v>370</v>
      </c>
      <c r="N9" s="591" t="s">
        <v>370</v>
      </c>
      <c r="O9" s="591" t="s">
        <v>370</v>
      </c>
      <c r="P9" s="592"/>
      <c r="Q9" s="593" t="s">
        <v>370</v>
      </c>
      <c r="R9" s="592" t="s">
        <v>370</v>
      </c>
      <c r="S9" s="592" t="s">
        <v>370</v>
      </c>
      <c r="T9" s="592"/>
      <c r="U9" s="592" t="s">
        <v>370</v>
      </c>
      <c r="V9" s="13"/>
      <c r="W9" s="13"/>
      <c r="X9" s="13"/>
      <c r="Y9" s="13"/>
      <c r="Z9" s="13"/>
      <c r="AA9" s="13"/>
      <c r="AB9" s="13"/>
      <c r="AC9" s="13"/>
      <c r="AD9" s="13"/>
    </row>
    <row r="10" spans="1:30" ht="30" customHeight="1">
      <c r="A10" s="12">
        <f t="shared" si="3"/>
        <v>7</v>
      </c>
      <c r="B10" s="126" t="s">
        <v>712</v>
      </c>
      <c r="C10" s="126" t="s">
        <v>509</v>
      </c>
      <c r="D10" s="126" t="s">
        <v>404</v>
      </c>
      <c r="E10" s="128" t="s">
        <v>170</v>
      </c>
      <c r="F10" s="567" t="s">
        <v>343</v>
      </c>
      <c r="G10" s="562">
        <v>379859456</v>
      </c>
      <c r="H10" s="120" t="s">
        <v>255</v>
      </c>
      <c r="I10" s="591"/>
      <c r="J10" s="591" t="s">
        <v>370</v>
      </c>
      <c r="K10" s="591"/>
      <c r="L10" s="591" t="s">
        <v>370</v>
      </c>
      <c r="M10" s="591"/>
      <c r="N10" s="591"/>
      <c r="O10" s="591" t="s">
        <v>370</v>
      </c>
      <c r="P10" s="592"/>
      <c r="Q10" s="593" t="s">
        <v>370</v>
      </c>
      <c r="R10" s="592" t="s">
        <v>370</v>
      </c>
      <c r="S10" s="592" t="s">
        <v>370</v>
      </c>
      <c r="T10" s="592" t="s">
        <v>370</v>
      </c>
      <c r="U10" s="592" t="s">
        <v>370</v>
      </c>
      <c r="V10" s="13" t="s">
        <v>370</v>
      </c>
      <c r="W10" s="13"/>
      <c r="X10" s="13"/>
      <c r="Y10" s="13" t="s">
        <v>370</v>
      </c>
      <c r="Z10" s="13" t="s">
        <v>370</v>
      </c>
      <c r="AA10" s="13"/>
      <c r="AB10" s="13"/>
      <c r="AC10" s="13"/>
      <c r="AD10" s="13"/>
    </row>
    <row r="11" spans="1:30" ht="30" customHeight="1">
      <c r="A11" s="12">
        <f t="shared" si="3"/>
        <v>8</v>
      </c>
      <c r="B11" s="126" t="s">
        <v>735</v>
      </c>
      <c r="C11" s="126"/>
      <c r="D11" s="126"/>
      <c r="E11" s="128"/>
      <c r="F11" s="567"/>
      <c r="G11" s="569"/>
      <c r="H11" s="132" t="s">
        <v>255</v>
      </c>
      <c r="I11" s="628"/>
      <c r="J11" s="591"/>
      <c r="K11" s="591"/>
      <c r="L11" s="591"/>
      <c r="M11" s="591"/>
      <c r="N11" s="591"/>
      <c r="O11" s="591"/>
      <c r="P11" s="592"/>
      <c r="Q11" s="593" t="s">
        <v>370</v>
      </c>
      <c r="R11" s="592" t="s">
        <v>370</v>
      </c>
      <c r="S11" s="592" t="s">
        <v>370</v>
      </c>
      <c r="T11" s="592" t="s">
        <v>370</v>
      </c>
      <c r="U11" s="592" t="s">
        <v>370</v>
      </c>
      <c r="V11" s="13" t="s">
        <v>370</v>
      </c>
      <c r="W11" s="13"/>
      <c r="X11" s="13"/>
      <c r="Y11" s="13"/>
      <c r="Z11" s="13"/>
      <c r="AA11" s="13"/>
      <c r="AB11" s="13"/>
      <c r="AC11" s="13"/>
      <c r="AD11" s="13"/>
    </row>
    <row r="12" spans="1:30" ht="30" customHeight="1">
      <c r="A12" s="12">
        <f t="shared" si="3"/>
        <v>9</v>
      </c>
      <c r="B12" s="126" t="s">
        <v>616</v>
      </c>
      <c r="C12" s="126"/>
      <c r="D12" s="126" t="s">
        <v>373</v>
      </c>
      <c r="E12" s="128"/>
      <c r="F12" s="567"/>
      <c r="G12" s="569"/>
      <c r="H12" s="132" t="s">
        <v>255</v>
      </c>
      <c r="I12" s="628"/>
      <c r="J12" s="591"/>
      <c r="K12" s="591"/>
      <c r="L12" s="591"/>
      <c r="M12" s="591"/>
      <c r="N12" s="591"/>
      <c r="O12" s="591"/>
      <c r="P12" s="592"/>
      <c r="Q12" s="593"/>
      <c r="R12" s="592"/>
      <c r="S12" s="592"/>
      <c r="T12" s="592"/>
      <c r="U12" s="592"/>
      <c r="V12" s="13"/>
      <c r="W12" s="13"/>
      <c r="X12" s="13"/>
      <c r="Y12" s="13"/>
      <c r="Z12" s="13"/>
      <c r="AA12" s="13" t="s">
        <v>370</v>
      </c>
      <c r="AB12" s="13"/>
      <c r="AC12" s="13"/>
      <c r="AD12" s="13"/>
    </row>
    <row r="13" spans="1:30" ht="30" customHeight="1">
      <c r="A13" s="12">
        <f t="shared" si="3"/>
        <v>10</v>
      </c>
      <c r="B13" s="126" t="s">
        <v>751</v>
      </c>
      <c r="C13" s="126" t="s">
        <v>649</v>
      </c>
      <c r="D13" s="126" t="s">
        <v>367</v>
      </c>
      <c r="E13" s="128" t="s">
        <v>262</v>
      </c>
      <c r="F13" s="567" t="s">
        <v>748</v>
      </c>
      <c r="G13" s="562" t="s">
        <v>752</v>
      </c>
      <c r="H13" s="132" t="s">
        <v>255</v>
      </c>
      <c r="I13" s="628"/>
      <c r="J13" s="591"/>
      <c r="K13" s="591"/>
      <c r="L13" s="591"/>
      <c r="M13" s="591"/>
      <c r="N13" s="591"/>
      <c r="O13" s="591"/>
      <c r="P13" s="592"/>
      <c r="Q13" s="593"/>
      <c r="R13" s="592"/>
      <c r="S13" s="592"/>
      <c r="T13" s="592"/>
      <c r="U13" s="592"/>
      <c r="V13" s="13" t="s">
        <v>370</v>
      </c>
      <c r="W13" s="13"/>
      <c r="X13" s="13" t="s">
        <v>370</v>
      </c>
      <c r="Y13" s="13" t="s">
        <v>370</v>
      </c>
      <c r="Z13" s="13" t="s">
        <v>370</v>
      </c>
      <c r="AA13" s="13" t="s">
        <v>370</v>
      </c>
      <c r="AB13" s="13"/>
      <c r="AC13" s="13"/>
      <c r="AD13" s="13"/>
    </row>
    <row r="14" spans="1:30" ht="30" customHeight="1">
      <c r="A14" s="12">
        <f t="shared" si="3"/>
        <v>11</v>
      </c>
      <c r="B14" s="132" t="s">
        <v>740</v>
      </c>
      <c r="C14" s="132"/>
      <c r="D14" s="132"/>
      <c r="E14" s="120"/>
      <c r="F14" s="567"/>
      <c r="G14" s="571"/>
      <c r="H14" s="629" t="s">
        <v>255</v>
      </c>
      <c r="I14" s="591"/>
      <c r="J14" s="591"/>
      <c r="K14" s="591"/>
      <c r="L14" s="591"/>
      <c r="M14" s="591"/>
      <c r="N14" s="591"/>
      <c r="O14" s="591"/>
      <c r="P14" s="592"/>
      <c r="Q14" s="593"/>
      <c r="R14" s="592"/>
      <c r="S14" s="592"/>
      <c r="T14" s="592" t="s">
        <v>370</v>
      </c>
      <c r="U14" s="592" t="s">
        <v>370</v>
      </c>
      <c r="V14" s="13"/>
      <c r="W14" s="13"/>
      <c r="X14" s="13"/>
      <c r="Y14" s="13"/>
      <c r="Z14" s="13"/>
      <c r="AA14" s="13"/>
      <c r="AB14" s="13"/>
      <c r="AC14" s="13"/>
      <c r="AD14" s="13"/>
    </row>
    <row r="15" spans="1:30" ht="30" customHeight="1">
      <c r="A15" s="12">
        <f t="shared" si="3"/>
        <v>12</v>
      </c>
      <c r="B15" s="132" t="s">
        <v>702</v>
      </c>
      <c r="C15" s="132" t="s">
        <v>413</v>
      </c>
      <c r="D15" s="132" t="s">
        <v>378</v>
      </c>
      <c r="E15" s="120" t="s">
        <v>312</v>
      </c>
      <c r="F15" s="558" t="s">
        <v>313</v>
      </c>
      <c r="G15" s="119"/>
      <c r="H15" s="131" t="s">
        <v>255</v>
      </c>
      <c r="I15" s="591"/>
      <c r="J15" s="591"/>
      <c r="K15" s="596"/>
      <c r="L15" s="591" t="s">
        <v>370</v>
      </c>
      <c r="M15" s="591"/>
      <c r="N15" s="591"/>
      <c r="O15" s="591"/>
      <c r="P15" s="592"/>
      <c r="Q15" s="593" t="s">
        <v>370</v>
      </c>
      <c r="R15" s="592"/>
      <c r="S15" s="592"/>
      <c r="T15" s="592"/>
      <c r="U15" s="592"/>
      <c r="V15" s="13"/>
      <c r="W15" s="13"/>
      <c r="X15" s="13" t="s">
        <v>370</v>
      </c>
      <c r="Y15" s="13"/>
      <c r="Z15" s="13"/>
      <c r="AA15" s="13"/>
      <c r="AB15" s="13"/>
      <c r="AC15" s="13"/>
      <c r="AD15" s="13"/>
    </row>
    <row r="16" spans="1:30" ht="30" customHeight="1">
      <c r="A16" s="12">
        <f t="shared" si="3"/>
        <v>13</v>
      </c>
      <c r="B16" s="132" t="s">
        <v>484</v>
      </c>
      <c r="C16" s="132" t="s">
        <v>672</v>
      </c>
      <c r="D16" s="132" t="s">
        <v>367</v>
      </c>
      <c r="E16" s="120" t="s">
        <v>300</v>
      </c>
      <c r="F16" s="558" t="s">
        <v>301</v>
      </c>
      <c r="G16" s="563" t="s">
        <v>97</v>
      </c>
      <c r="H16" s="131" t="s">
        <v>255</v>
      </c>
      <c r="I16" s="591"/>
      <c r="J16" s="591" t="s">
        <v>370</v>
      </c>
      <c r="K16" s="596" t="s">
        <v>370</v>
      </c>
      <c r="L16" s="594" t="s">
        <v>370</v>
      </c>
      <c r="M16" s="594" t="s">
        <v>370</v>
      </c>
      <c r="N16" s="594" t="s">
        <v>370</v>
      </c>
      <c r="O16" s="594" t="s">
        <v>370</v>
      </c>
      <c r="P16" s="592"/>
      <c r="Q16" s="593"/>
      <c r="R16" s="592"/>
      <c r="S16" s="592"/>
      <c r="T16" s="592" t="s">
        <v>370</v>
      </c>
      <c r="U16" s="592"/>
      <c r="V16" s="13"/>
      <c r="W16" s="13" t="s">
        <v>370</v>
      </c>
      <c r="X16" s="13"/>
      <c r="Y16" s="13" t="s">
        <v>370</v>
      </c>
      <c r="Z16" s="13"/>
      <c r="AA16" s="13"/>
      <c r="AB16" s="13"/>
      <c r="AC16" s="13"/>
      <c r="AD16" s="13"/>
    </row>
    <row r="17" spans="1:30" ht="30" customHeight="1">
      <c r="A17" s="12">
        <f t="shared" si="3"/>
        <v>14</v>
      </c>
      <c r="B17" s="132" t="s">
        <v>602</v>
      </c>
      <c r="C17" s="132" t="s">
        <v>603</v>
      </c>
      <c r="D17" s="132"/>
      <c r="E17" s="120"/>
      <c r="F17" s="558"/>
      <c r="G17" s="563"/>
      <c r="H17" s="131" t="s">
        <v>255</v>
      </c>
      <c r="I17" s="591"/>
      <c r="J17" s="591"/>
      <c r="K17" s="596"/>
      <c r="L17" s="594"/>
      <c r="M17" s="594"/>
      <c r="N17" s="594"/>
      <c r="O17" s="594"/>
      <c r="P17" s="592"/>
      <c r="Q17" s="593"/>
      <c r="R17" s="592"/>
      <c r="S17" s="592"/>
      <c r="T17" s="592"/>
      <c r="U17" s="592"/>
      <c r="V17" s="13"/>
      <c r="W17" s="13"/>
      <c r="X17" s="13"/>
      <c r="Y17" s="13" t="s">
        <v>370</v>
      </c>
      <c r="Z17" s="13"/>
      <c r="AA17" s="13"/>
      <c r="AB17" s="13"/>
      <c r="AC17" s="13"/>
      <c r="AD17" s="13"/>
    </row>
    <row r="18" spans="1:30" ht="30" customHeight="1">
      <c r="A18" s="12">
        <f t="shared" si="3"/>
        <v>15</v>
      </c>
      <c r="B18" s="132" t="s">
        <v>685</v>
      </c>
      <c r="C18" s="132" t="s">
        <v>686</v>
      </c>
      <c r="D18" s="132" t="s">
        <v>367</v>
      </c>
      <c r="E18" s="120" t="s">
        <v>750</v>
      </c>
      <c r="F18" s="558"/>
      <c r="G18" s="563"/>
      <c r="H18" s="131" t="s">
        <v>255</v>
      </c>
      <c r="I18" s="591"/>
      <c r="J18" s="591"/>
      <c r="K18" s="596"/>
      <c r="L18" s="594"/>
      <c r="M18" s="594"/>
      <c r="N18" s="594"/>
      <c r="O18" s="594"/>
      <c r="P18" s="592"/>
      <c r="Q18" s="593"/>
      <c r="R18" s="592"/>
      <c r="S18" s="592"/>
      <c r="T18" s="592"/>
      <c r="U18" s="592"/>
      <c r="V18" s="13" t="s">
        <v>370</v>
      </c>
      <c r="W18" s="13" t="s">
        <v>370</v>
      </c>
      <c r="X18" s="13" t="s">
        <v>370</v>
      </c>
      <c r="Y18" s="13"/>
      <c r="Z18" s="13" t="s">
        <v>370</v>
      </c>
      <c r="AA18" s="13" t="s">
        <v>370</v>
      </c>
      <c r="AB18" s="13"/>
      <c r="AC18" s="13"/>
      <c r="AD18" s="13"/>
    </row>
    <row r="19" spans="1:30" ht="30" customHeight="1">
      <c r="A19" s="12">
        <f t="shared" si="3"/>
        <v>16</v>
      </c>
      <c r="B19" s="132" t="s">
        <v>685</v>
      </c>
      <c r="C19" s="132" t="s">
        <v>741</v>
      </c>
      <c r="D19" s="132"/>
      <c r="E19" s="120"/>
      <c r="F19" s="558"/>
      <c r="G19" s="563"/>
      <c r="H19" s="131" t="s">
        <v>255</v>
      </c>
      <c r="I19" s="591"/>
      <c r="J19" s="591"/>
      <c r="K19" s="596"/>
      <c r="L19" s="594"/>
      <c r="M19" s="594"/>
      <c r="N19" s="594"/>
      <c r="O19" s="594"/>
      <c r="P19" s="592"/>
      <c r="Q19" s="593"/>
      <c r="R19" s="592"/>
      <c r="S19" s="592"/>
      <c r="T19" s="592"/>
      <c r="U19" s="592"/>
      <c r="V19" s="13"/>
      <c r="W19" s="13"/>
      <c r="X19" s="13"/>
      <c r="Y19" s="13" t="s">
        <v>370</v>
      </c>
      <c r="Z19" s="13" t="s">
        <v>370</v>
      </c>
      <c r="AA19" s="13" t="s">
        <v>370</v>
      </c>
      <c r="AB19" s="13"/>
      <c r="AC19" s="13"/>
      <c r="AD19" s="13"/>
    </row>
    <row r="20" spans="1:30" ht="30" customHeight="1">
      <c r="A20" s="12">
        <f t="shared" si="3"/>
        <v>17</v>
      </c>
      <c r="B20" s="132" t="s">
        <v>754</v>
      </c>
      <c r="C20" s="132"/>
      <c r="D20" s="132"/>
      <c r="E20" s="120"/>
      <c r="F20" s="558"/>
      <c r="G20" s="563"/>
      <c r="H20" s="131" t="s">
        <v>255</v>
      </c>
      <c r="I20" s="591"/>
      <c r="J20" s="591"/>
      <c r="K20" s="596"/>
      <c r="L20" s="594"/>
      <c r="M20" s="594"/>
      <c r="N20" s="594"/>
      <c r="O20" s="594"/>
      <c r="P20" s="592"/>
      <c r="Q20" s="593"/>
      <c r="R20" s="592"/>
      <c r="S20" s="592"/>
      <c r="T20" s="592"/>
      <c r="U20" s="592"/>
      <c r="V20" s="13" t="s">
        <v>370</v>
      </c>
      <c r="W20" s="13"/>
      <c r="X20" s="13"/>
      <c r="Y20" s="13"/>
      <c r="Z20" s="13"/>
      <c r="AA20" s="13" t="s">
        <v>370</v>
      </c>
      <c r="AB20" s="13"/>
      <c r="AC20" s="13"/>
      <c r="AD20" s="13"/>
    </row>
    <row r="21" spans="1:30" ht="30" customHeight="1">
      <c r="A21" s="12">
        <f t="shared" si="3"/>
        <v>18</v>
      </c>
      <c r="B21" s="132" t="s">
        <v>666</v>
      </c>
      <c r="C21" s="132" t="s">
        <v>480</v>
      </c>
      <c r="D21" s="132" t="s">
        <v>378</v>
      </c>
      <c r="E21" s="120" t="s">
        <v>294</v>
      </c>
      <c r="F21" s="567" t="s">
        <v>295</v>
      </c>
      <c r="G21" s="119" t="s">
        <v>131</v>
      </c>
      <c r="H21" s="131" t="s">
        <v>255</v>
      </c>
      <c r="I21" s="591"/>
      <c r="J21" s="591" t="s">
        <v>370</v>
      </c>
      <c r="K21" s="596" t="s">
        <v>370</v>
      </c>
      <c r="L21" s="594" t="s">
        <v>370</v>
      </c>
      <c r="M21" s="594" t="s">
        <v>370</v>
      </c>
      <c r="N21" s="594" t="s">
        <v>370</v>
      </c>
      <c r="O21" s="594" t="s">
        <v>370</v>
      </c>
      <c r="P21" s="592"/>
      <c r="Q21" s="593"/>
      <c r="R21" s="592"/>
      <c r="S21" s="592"/>
      <c r="T21" s="592"/>
      <c r="U21" s="592" t="s">
        <v>370</v>
      </c>
      <c r="V21" s="13" t="s">
        <v>370</v>
      </c>
      <c r="W21" s="13" t="s">
        <v>370</v>
      </c>
      <c r="X21" s="13" t="s">
        <v>370</v>
      </c>
      <c r="Y21" s="13"/>
      <c r="Z21" s="13" t="s">
        <v>370</v>
      </c>
      <c r="AA21" s="13" t="s">
        <v>370</v>
      </c>
      <c r="AB21" s="13"/>
      <c r="AC21" s="13"/>
      <c r="AD21" s="13"/>
    </row>
    <row r="22" spans="1:30" ht="30" customHeight="1">
      <c r="A22" s="12">
        <f t="shared" si="3"/>
        <v>19</v>
      </c>
      <c r="B22" s="132" t="s">
        <v>664</v>
      </c>
      <c r="C22" s="132" t="s">
        <v>665</v>
      </c>
      <c r="D22" s="132" t="s">
        <v>378</v>
      </c>
      <c r="E22" s="120" t="s">
        <v>291</v>
      </c>
      <c r="F22" s="558" t="s">
        <v>292</v>
      </c>
      <c r="G22" s="563" t="s">
        <v>293</v>
      </c>
      <c r="H22" s="131" t="s">
        <v>255</v>
      </c>
      <c r="I22" s="591" t="s">
        <v>370</v>
      </c>
      <c r="J22" s="591"/>
      <c r="K22" s="591" t="s">
        <v>370</v>
      </c>
      <c r="L22" s="591" t="s">
        <v>370</v>
      </c>
      <c r="M22" s="594" t="s">
        <v>370</v>
      </c>
      <c r="N22" s="594" t="s">
        <v>370</v>
      </c>
      <c r="O22" s="594" t="s">
        <v>370</v>
      </c>
      <c r="P22" s="592" t="s">
        <v>370</v>
      </c>
      <c r="Q22" s="593"/>
      <c r="R22" s="592"/>
      <c r="S22" s="592" t="s">
        <v>370</v>
      </c>
      <c r="T22" s="592"/>
      <c r="U22" s="592"/>
      <c r="V22" s="13"/>
      <c r="W22" s="13"/>
      <c r="X22" s="13" t="s">
        <v>370</v>
      </c>
      <c r="Y22" s="13"/>
      <c r="Z22" s="13" t="s">
        <v>370</v>
      </c>
      <c r="AA22" s="13" t="s">
        <v>370</v>
      </c>
      <c r="AB22" s="13"/>
      <c r="AC22" s="13"/>
      <c r="AD22" s="13"/>
    </row>
    <row r="23" spans="1:30" ht="30" customHeight="1">
      <c r="A23" s="12">
        <f t="shared" si="3"/>
        <v>20</v>
      </c>
      <c r="B23" s="132" t="s">
        <v>661</v>
      </c>
      <c r="C23" s="132" t="s">
        <v>388</v>
      </c>
      <c r="D23" s="132" t="s">
        <v>367</v>
      </c>
      <c r="E23" s="120" t="s">
        <v>286</v>
      </c>
      <c r="F23" s="559" t="s">
        <v>136</v>
      </c>
      <c r="G23" s="564" t="s">
        <v>287</v>
      </c>
      <c r="H23" s="131" t="s">
        <v>255</v>
      </c>
      <c r="I23" s="591"/>
      <c r="J23" s="591" t="s">
        <v>370</v>
      </c>
      <c r="K23" s="591" t="s">
        <v>370</v>
      </c>
      <c r="L23" s="591"/>
      <c r="M23" s="591"/>
      <c r="N23" s="591"/>
      <c r="O23" s="591" t="s">
        <v>370</v>
      </c>
      <c r="P23" s="592"/>
      <c r="Q23" s="593"/>
      <c r="R23" s="592"/>
      <c r="S23" s="592" t="s">
        <v>370</v>
      </c>
      <c r="T23" s="592"/>
      <c r="U23" s="592"/>
      <c r="V23" s="13" t="s">
        <v>370</v>
      </c>
      <c r="W23" s="13" t="s">
        <v>370</v>
      </c>
      <c r="X23" s="13"/>
      <c r="Y23" s="13" t="s">
        <v>370</v>
      </c>
      <c r="Z23" s="13"/>
      <c r="AA23" s="13" t="s">
        <v>370</v>
      </c>
      <c r="AB23" s="13"/>
      <c r="AC23" s="13"/>
      <c r="AD23" s="13"/>
    </row>
    <row r="24" spans="1:30" ht="30" customHeight="1">
      <c r="A24" s="12">
        <f t="shared" si="3"/>
        <v>21</v>
      </c>
      <c r="B24" s="132" t="s">
        <v>698</v>
      </c>
      <c r="C24" s="132" t="s">
        <v>496</v>
      </c>
      <c r="D24" s="132" t="s">
        <v>367</v>
      </c>
      <c r="E24" s="120" t="s">
        <v>334</v>
      </c>
      <c r="F24" s="567" t="s">
        <v>335</v>
      </c>
      <c r="G24" s="119" t="s">
        <v>336</v>
      </c>
      <c r="H24" s="131" t="s">
        <v>255</v>
      </c>
      <c r="I24" s="591" t="s">
        <v>370</v>
      </c>
      <c r="J24" s="591"/>
      <c r="K24" s="591"/>
      <c r="L24" s="591"/>
      <c r="M24" s="591"/>
      <c r="N24" s="591"/>
      <c r="O24" s="591"/>
      <c r="P24" s="592"/>
      <c r="Q24" s="593"/>
      <c r="R24" s="592"/>
      <c r="S24" s="592"/>
      <c r="T24" s="592"/>
      <c r="U24" s="592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ht="30" customHeight="1">
      <c r="A25" s="12">
        <f t="shared" si="3"/>
        <v>22</v>
      </c>
      <c r="B25" s="132" t="s">
        <v>679</v>
      </c>
      <c r="C25" s="132" t="s">
        <v>428</v>
      </c>
      <c r="D25" s="132" t="s">
        <v>367</v>
      </c>
      <c r="E25" s="120" t="s">
        <v>314</v>
      </c>
      <c r="F25" s="558" t="s">
        <v>315</v>
      </c>
      <c r="G25" s="563" t="s">
        <v>316</v>
      </c>
      <c r="H25" s="131" t="s">
        <v>255</v>
      </c>
      <c r="I25" s="591"/>
      <c r="J25" s="591"/>
      <c r="K25" s="591"/>
      <c r="L25" s="591"/>
      <c r="M25" s="591"/>
      <c r="N25" s="591"/>
      <c r="O25" s="591"/>
      <c r="P25" s="592"/>
      <c r="Q25" s="593" t="s">
        <v>370</v>
      </c>
      <c r="R25" s="592"/>
      <c r="S25" s="592"/>
      <c r="T25" s="592" t="s">
        <v>370</v>
      </c>
      <c r="U25" s="592"/>
      <c r="V25" s="13"/>
      <c r="W25" s="13"/>
      <c r="X25" s="13"/>
      <c r="Y25" s="13"/>
      <c r="Z25" s="13" t="s">
        <v>370</v>
      </c>
      <c r="AA25" s="13" t="s">
        <v>370</v>
      </c>
      <c r="AB25" s="13"/>
      <c r="AC25" s="13"/>
      <c r="AD25" s="13"/>
    </row>
    <row r="26" spans="1:30" ht="30" customHeight="1">
      <c r="A26" s="12">
        <f t="shared" si="3"/>
        <v>23</v>
      </c>
      <c r="B26" s="132" t="s">
        <v>688</v>
      </c>
      <c r="C26" s="132" t="s">
        <v>686</v>
      </c>
      <c r="D26" s="132" t="s">
        <v>378</v>
      </c>
      <c r="E26" s="120" t="s">
        <v>320</v>
      </c>
      <c r="F26" s="558" t="s">
        <v>321</v>
      </c>
      <c r="G26" s="563" t="s">
        <v>54</v>
      </c>
      <c r="H26" s="131" t="s">
        <v>255</v>
      </c>
      <c r="I26" s="591"/>
      <c r="J26" s="591"/>
      <c r="K26" s="591"/>
      <c r="L26" s="591"/>
      <c r="M26" s="591"/>
      <c r="N26" s="591"/>
      <c r="O26" s="591"/>
      <c r="P26" s="592"/>
      <c r="Q26" s="593"/>
      <c r="R26" s="592" t="s">
        <v>370</v>
      </c>
      <c r="S26" s="592"/>
      <c r="T26" s="592"/>
      <c r="U26" s="592"/>
      <c r="V26" s="13" t="s">
        <v>370</v>
      </c>
      <c r="W26" s="13"/>
      <c r="X26" s="13" t="s">
        <v>370</v>
      </c>
      <c r="Y26" s="13"/>
      <c r="Z26" s="13" t="s">
        <v>370</v>
      </c>
      <c r="AA26" s="13" t="s">
        <v>370</v>
      </c>
      <c r="AB26" s="13"/>
      <c r="AC26" s="13"/>
      <c r="AD26" s="13"/>
    </row>
    <row r="27" spans="1:30" ht="30" customHeight="1">
      <c r="A27" s="12">
        <f t="shared" si="3"/>
        <v>24</v>
      </c>
      <c r="B27" s="132" t="s">
        <v>676</v>
      </c>
      <c r="C27" s="132" t="s">
        <v>413</v>
      </c>
      <c r="D27" s="132" t="s">
        <v>378</v>
      </c>
      <c r="E27" s="120" t="s">
        <v>308</v>
      </c>
      <c r="F27" s="558" t="s">
        <v>309</v>
      </c>
      <c r="G27" s="119" t="s">
        <v>310</v>
      </c>
      <c r="H27" s="131" t="s">
        <v>255</v>
      </c>
      <c r="I27" s="591"/>
      <c r="J27" s="591" t="s">
        <v>370</v>
      </c>
      <c r="K27" s="591" t="s">
        <v>370</v>
      </c>
      <c r="L27" s="591" t="s">
        <v>370</v>
      </c>
      <c r="M27" s="594" t="s">
        <v>370</v>
      </c>
      <c r="N27" s="594" t="s">
        <v>370</v>
      </c>
      <c r="O27" s="591" t="s">
        <v>370</v>
      </c>
      <c r="P27" s="592"/>
      <c r="Q27" s="593"/>
      <c r="R27" s="592"/>
      <c r="S27" s="592"/>
      <c r="T27" s="592"/>
      <c r="U27" s="592" t="s">
        <v>370</v>
      </c>
      <c r="V27" s="13"/>
      <c r="W27" s="13"/>
      <c r="X27" s="13"/>
      <c r="Y27" s="13"/>
      <c r="Z27" s="13" t="s">
        <v>370</v>
      </c>
      <c r="AA27" s="13"/>
      <c r="AB27" s="13"/>
      <c r="AC27" s="13"/>
      <c r="AD27" s="13"/>
    </row>
    <row r="28" spans="1:30" ht="30" customHeight="1">
      <c r="A28" s="12">
        <f t="shared" si="3"/>
        <v>25</v>
      </c>
      <c r="B28" s="132" t="s">
        <v>729</v>
      </c>
      <c r="C28" s="132" t="s">
        <v>730</v>
      </c>
      <c r="D28" s="132" t="s">
        <v>404</v>
      </c>
      <c r="E28" s="120" t="s">
        <v>731</v>
      </c>
      <c r="F28" s="567"/>
      <c r="G28" s="571"/>
      <c r="H28" s="131" t="s">
        <v>255</v>
      </c>
      <c r="I28" s="591"/>
      <c r="J28" s="591"/>
      <c r="K28" s="591"/>
      <c r="L28" s="591"/>
      <c r="M28" s="591"/>
      <c r="N28" s="591"/>
      <c r="O28" s="591"/>
      <c r="P28" s="592" t="s">
        <v>370</v>
      </c>
      <c r="Q28" s="593"/>
      <c r="R28" s="592"/>
      <c r="S28" s="592"/>
      <c r="T28" s="592"/>
      <c r="U28" s="592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 ht="30" customHeight="1">
      <c r="A29" s="12">
        <f t="shared" si="3"/>
        <v>26</v>
      </c>
      <c r="B29" s="116" t="s">
        <v>658</v>
      </c>
      <c r="C29" s="116" t="s">
        <v>578</v>
      </c>
      <c r="D29" s="116" t="s">
        <v>378</v>
      </c>
      <c r="E29" s="117" t="s">
        <v>280</v>
      </c>
      <c r="F29" s="560" t="s">
        <v>281</v>
      </c>
      <c r="G29" s="119" t="s">
        <v>282</v>
      </c>
      <c r="H29" s="131" t="s">
        <v>255</v>
      </c>
      <c r="I29" s="591"/>
      <c r="J29" s="591" t="s">
        <v>370</v>
      </c>
      <c r="K29" s="591"/>
      <c r="L29" s="591"/>
      <c r="M29" s="591"/>
      <c r="N29" s="591"/>
      <c r="O29" s="591"/>
      <c r="P29" s="592"/>
      <c r="Q29" s="593"/>
      <c r="R29" s="592"/>
      <c r="S29" s="592"/>
      <c r="T29" s="592"/>
      <c r="U29" s="592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ht="30" customHeight="1">
      <c r="A30" s="12">
        <f t="shared" si="3"/>
        <v>27</v>
      </c>
      <c r="B30" s="132" t="s">
        <v>670</v>
      </c>
      <c r="C30" s="132" t="s">
        <v>482</v>
      </c>
      <c r="D30" s="132" t="s">
        <v>378</v>
      </c>
      <c r="E30" s="120" t="s">
        <v>299</v>
      </c>
      <c r="F30" s="558" t="s">
        <v>133</v>
      </c>
      <c r="G30" s="563" t="s">
        <v>134</v>
      </c>
      <c r="H30" s="131" t="s">
        <v>255</v>
      </c>
      <c r="I30" s="591" t="s">
        <v>370</v>
      </c>
      <c r="J30" s="591" t="s">
        <v>370</v>
      </c>
      <c r="K30" s="591" t="s">
        <v>370</v>
      </c>
      <c r="L30" s="594" t="s">
        <v>370</v>
      </c>
      <c r="M30" s="594" t="s">
        <v>370</v>
      </c>
      <c r="N30" s="594" t="s">
        <v>370</v>
      </c>
      <c r="O30" s="594" t="s">
        <v>370</v>
      </c>
      <c r="P30" s="592"/>
      <c r="Q30" s="593"/>
      <c r="R30" s="592"/>
      <c r="S30" s="592"/>
      <c r="T30" s="592"/>
      <c r="U30" s="592"/>
      <c r="V30" s="13"/>
      <c r="W30" s="13"/>
      <c r="X30" s="13"/>
      <c r="Y30" s="13"/>
      <c r="Z30" s="13"/>
      <c r="AA30" s="13" t="s">
        <v>370</v>
      </c>
      <c r="AB30" s="13"/>
      <c r="AC30" s="13"/>
      <c r="AD30" s="13"/>
    </row>
    <row r="31" spans="1:30" ht="30" customHeight="1">
      <c r="A31" s="12">
        <f t="shared" si="3"/>
        <v>28</v>
      </c>
      <c r="B31" s="132" t="s">
        <v>660</v>
      </c>
      <c r="C31" s="132"/>
      <c r="D31" s="132" t="s">
        <v>373</v>
      </c>
      <c r="E31" s="120"/>
      <c r="F31" s="558"/>
      <c r="G31" s="563"/>
      <c r="H31" s="131" t="s">
        <v>255</v>
      </c>
      <c r="I31" s="591"/>
      <c r="J31" s="591"/>
      <c r="K31" s="591"/>
      <c r="L31" s="594"/>
      <c r="M31" s="594"/>
      <c r="N31" s="594"/>
      <c r="O31" s="594"/>
      <c r="P31" s="592"/>
      <c r="Q31" s="593"/>
      <c r="R31" s="592"/>
      <c r="S31" s="592"/>
      <c r="T31" s="592"/>
      <c r="U31" s="592"/>
      <c r="V31" s="13"/>
      <c r="W31" s="13"/>
      <c r="X31" s="13"/>
      <c r="Y31" s="13"/>
      <c r="Z31" s="13"/>
      <c r="AA31" s="13" t="s">
        <v>370</v>
      </c>
      <c r="AB31" s="13"/>
      <c r="AC31" s="13"/>
      <c r="AD31" s="13"/>
    </row>
    <row r="32" spans="1:30" ht="30" customHeight="1">
      <c r="A32" s="12">
        <f t="shared" si="3"/>
        <v>29</v>
      </c>
      <c r="B32" s="132" t="s">
        <v>667</v>
      </c>
      <c r="C32" s="132" t="s">
        <v>668</v>
      </c>
      <c r="D32" s="132" t="s">
        <v>367</v>
      </c>
      <c r="E32" s="120" t="s">
        <v>296</v>
      </c>
      <c r="F32" s="558" t="s">
        <v>297</v>
      </c>
      <c r="G32" s="563" t="s">
        <v>298</v>
      </c>
      <c r="H32" s="131" t="s">
        <v>255</v>
      </c>
      <c r="I32" s="591" t="s">
        <v>370</v>
      </c>
      <c r="J32" s="591" t="s">
        <v>370</v>
      </c>
      <c r="K32" s="591" t="s">
        <v>370</v>
      </c>
      <c r="L32" s="594" t="s">
        <v>370</v>
      </c>
      <c r="M32" s="591"/>
      <c r="N32" s="594" t="s">
        <v>370</v>
      </c>
      <c r="O32" s="594" t="s">
        <v>370</v>
      </c>
      <c r="P32" s="592"/>
      <c r="Q32" s="593"/>
      <c r="R32" s="592"/>
      <c r="S32" s="592"/>
      <c r="T32" s="592"/>
      <c r="U32" s="592"/>
      <c r="V32" s="13"/>
      <c r="W32" s="13" t="s">
        <v>370</v>
      </c>
      <c r="X32" s="13" t="s">
        <v>370</v>
      </c>
      <c r="Y32" s="13" t="s">
        <v>370</v>
      </c>
      <c r="Z32" s="13"/>
      <c r="AA32" s="13" t="s">
        <v>370</v>
      </c>
      <c r="AB32" s="13"/>
      <c r="AC32" s="13"/>
      <c r="AD32" s="13"/>
    </row>
    <row r="33" spans="1:30" ht="30" customHeight="1">
      <c r="A33" s="12">
        <f t="shared" si="3"/>
        <v>30</v>
      </c>
      <c r="B33" s="132" t="s">
        <v>785</v>
      </c>
      <c r="C33" s="132" t="s">
        <v>786</v>
      </c>
      <c r="D33" s="132"/>
      <c r="E33" s="120"/>
      <c r="F33" s="558"/>
      <c r="G33" s="563"/>
      <c r="H33" s="131"/>
      <c r="I33" s="591"/>
      <c r="J33" s="591"/>
      <c r="K33" s="591"/>
      <c r="L33" s="594"/>
      <c r="M33" s="591"/>
      <c r="N33" s="594"/>
      <c r="O33" s="594"/>
      <c r="P33" s="592"/>
      <c r="Q33" s="593"/>
      <c r="R33" s="592"/>
      <c r="S33" s="592"/>
      <c r="T33" s="592"/>
      <c r="U33" s="592"/>
      <c r="V33" s="13"/>
      <c r="W33" s="13"/>
      <c r="X33" s="13"/>
      <c r="Y33" s="13"/>
      <c r="Z33" s="13" t="s">
        <v>370</v>
      </c>
      <c r="AA33" s="13" t="s">
        <v>370</v>
      </c>
      <c r="AB33" s="13"/>
      <c r="AC33" s="13"/>
      <c r="AD33" s="13"/>
    </row>
    <row r="34" spans="1:30" ht="30" customHeight="1">
      <c r="A34" s="12">
        <f t="shared" si="3"/>
        <v>31</v>
      </c>
      <c r="B34" s="132" t="s">
        <v>611</v>
      </c>
      <c r="C34" s="132" t="s">
        <v>675</v>
      </c>
      <c r="D34" s="132" t="s">
        <v>378</v>
      </c>
      <c r="E34" s="120" t="s">
        <v>306</v>
      </c>
      <c r="F34" s="558" t="s">
        <v>307</v>
      </c>
      <c r="G34" s="563"/>
      <c r="H34" s="131" t="s">
        <v>255</v>
      </c>
      <c r="I34" s="591" t="s">
        <v>370</v>
      </c>
      <c r="J34" s="591" t="s">
        <v>370</v>
      </c>
      <c r="K34" s="591" t="s">
        <v>370</v>
      </c>
      <c r="L34" s="591" t="s">
        <v>370</v>
      </c>
      <c r="M34" s="594" t="s">
        <v>370</v>
      </c>
      <c r="N34" s="591"/>
      <c r="O34" s="591"/>
      <c r="P34" s="592" t="s">
        <v>370</v>
      </c>
      <c r="Q34" s="593"/>
      <c r="R34" s="592" t="s">
        <v>370</v>
      </c>
      <c r="S34" s="592"/>
      <c r="T34" s="592"/>
      <c r="U34" s="592"/>
      <c r="V34" s="13"/>
      <c r="W34" s="13"/>
      <c r="X34" s="13" t="s">
        <v>370</v>
      </c>
      <c r="Y34" s="13"/>
      <c r="Z34" s="13" t="s">
        <v>370</v>
      </c>
      <c r="AA34" s="13" t="s">
        <v>370</v>
      </c>
      <c r="AB34" s="13"/>
      <c r="AC34" s="13"/>
      <c r="AD34" s="13"/>
    </row>
    <row r="35" spans="1:30" ht="30" customHeight="1">
      <c r="A35" s="12">
        <f t="shared" si="3"/>
        <v>32</v>
      </c>
      <c r="B35" s="132" t="s">
        <v>737</v>
      </c>
      <c r="C35" s="132"/>
      <c r="D35" s="132"/>
      <c r="E35" s="120"/>
      <c r="F35" s="567"/>
      <c r="G35" s="571"/>
      <c r="H35" s="131" t="s">
        <v>255</v>
      </c>
      <c r="I35" s="591"/>
      <c r="J35" s="591"/>
      <c r="K35" s="591"/>
      <c r="L35" s="591"/>
      <c r="M35" s="591"/>
      <c r="N35" s="591"/>
      <c r="O35" s="591"/>
      <c r="P35" s="592"/>
      <c r="Q35" s="593"/>
      <c r="R35" s="592"/>
      <c r="S35" s="592"/>
      <c r="T35" s="592" t="s">
        <v>370</v>
      </c>
      <c r="U35" s="592"/>
      <c r="V35" s="13"/>
      <c r="W35" s="13" t="s">
        <v>370</v>
      </c>
      <c r="X35" s="13" t="s">
        <v>370</v>
      </c>
      <c r="Y35" s="13"/>
      <c r="Z35" s="13"/>
      <c r="AA35" s="13"/>
      <c r="AB35" s="13"/>
      <c r="AC35" s="13"/>
      <c r="AD35" s="13"/>
    </row>
    <row r="36" spans="1:30" ht="30" customHeight="1">
      <c r="A36" s="12">
        <f t="shared" si="3"/>
        <v>33</v>
      </c>
      <c r="B36" s="132" t="s">
        <v>771</v>
      </c>
      <c r="C36" s="132" t="s">
        <v>772</v>
      </c>
      <c r="D36" s="132"/>
      <c r="E36" s="120"/>
      <c r="F36" s="567"/>
      <c r="G36" s="571"/>
      <c r="H36" s="131" t="s">
        <v>255</v>
      </c>
      <c r="I36" s="591"/>
      <c r="J36" s="591"/>
      <c r="K36" s="591"/>
      <c r="L36" s="591"/>
      <c r="M36" s="591"/>
      <c r="N36" s="591"/>
      <c r="O36" s="591"/>
      <c r="P36" s="592"/>
      <c r="Q36" s="593"/>
      <c r="R36" s="592"/>
      <c r="S36" s="592"/>
      <c r="T36" s="592"/>
      <c r="U36" s="592"/>
      <c r="V36" s="13"/>
      <c r="W36" s="13"/>
      <c r="X36" s="13"/>
      <c r="Y36" s="13" t="s">
        <v>370</v>
      </c>
      <c r="Z36" s="13"/>
      <c r="AA36" s="13"/>
      <c r="AB36" s="13"/>
      <c r="AC36" s="13"/>
      <c r="AD36" s="13"/>
    </row>
    <row r="37" spans="1:30" ht="30" customHeight="1">
      <c r="A37" s="12">
        <f t="shared" si="3"/>
        <v>34</v>
      </c>
      <c r="B37" s="132" t="s">
        <v>659</v>
      </c>
      <c r="C37" s="132"/>
      <c r="D37" s="132" t="s">
        <v>373</v>
      </c>
      <c r="E37" s="120"/>
      <c r="F37" s="567"/>
      <c r="G37" s="571"/>
      <c r="H37" s="131" t="s">
        <v>255</v>
      </c>
      <c r="I37" s="591"/>
      <c r="J37" s="591"/>
      <c r="K37" s="591"/>
      <c r="L37" s="591"/>
      <c r="M37" s="591"/>
      <c r="N37" s="591"/>
      <c r="O37" s="591"/>
      <c r="P37" s="592"/>
      <c r="Q37" s="593"/>
      <c r="R37" s="592"/>
      <c r="S37" s="592"/>
      <c r="T37" s="592"/>
      <c r="U37" s="592"/>
      <c r="V37" s="13"/>
      <c r="W37" s="13"/>
      <c r="X37" s="13"/>
      <c r="Y37" s="13"/>
      <c r="Z37" s="13"/>
      <c r="AA37" s="13" t="s">
        <v>370</v>
      </c>
      <c r="AB37" s="13"/>
      <c r="AC37" s="13"/>
      <c r="AD37" s="13"/>
    </row>
    <row r="38" spans="1:30" ht="30" customHeight="1">
      <c r="A38" s="12">
        <f t="shared" si="3"/>
        <v>35</v>
      </c>
      <c r="B38" s="132" t="s">
        <v>677</v>
      </c>
      <c r="C38" s="132" t="s">
        <v>603</v>
      </c>
      <c r="D38" s="132"/>
      <c r="E38" s="120"/>
      <c r="F38" s="567"/>
      <c r="G38" s="571"/>
      <c r="H38" s="131" t="s">
        <v>255</v>
      </c>
      <c r="I38" s="591"/>
      <c r="J38" s="591"/>
      <c r="K38" s="591"/>
      <c r="L38" s="591"/>
      <c r="M38" s="591"/>
      <c r="N38" s="591"/>
      <c r="O38" s="591"/>
      <c r="P38" s="592"/>
      <c r="Q38" s="593"/>
      <c r="R38" s="592"/>
      <c r="S38" s="592"/>
      <c r="T38" s="592"/>
      <c r="U38" s="592"/>
      <c r="V38" s="13"/>
      <c r="W38" s="13"/>
      <c r="X38" s="13"/>
      <c r="Y38" s="13" t="s">
        <v>370</v>
      </c>
      <c r="Z38" s="13"/>
      <c r="AA38" s="13"/>
      <c r="AB38" s="13"/>
      <c r="AC38" s="13"/>
      <c r="AD38" s="13"/>
    </row>
    <row r="39" spans="1:30" ht="30" customHeight="1">
      <c r="A39" s="12">
        <f t="shared" si="3"/>
        <v>36</v>
      </c>
      <c r="B39" s="556" t="s">
        <v>582</v>
      </c>
      <c r="C39" s="556" t="s">
        <v>400</v>
      </c>
      <c r="D39" s="556" t="s">
        <v>367</v>
      </c>
      <c r="E39" s="556" t="s">
        <v>46</v>
      </c>
      <c r="F39" s="612" t="s">
        <v>47</v>
      </c>
      <c r="G39" s="556" t="s">
        <v>48</v>
      </c>
      <c r="H39" s="131" t="s">
        <v>255</v>
      </c>
      <c r="I39" s="16" t="s">
        <v>370</v>
      </c>
      <c r="J39" s="16"/>
      <c r="K39" s="16"/>
      <c r="L39" s="16"/>
      <c r="M39" s="16"/>
      <c r="N39" s="16"/>
      <c r="O39" s="16"/>
      <c r="P39" s="20"/>
      <c r="Q39" s="16"/>
      <c r="R39" s="20"/>
      <c r="S39" s="20"/>
      <c r="T39" s="20"/>
      <c r="U39" s="16"/>
      <c r="V39" s="18"/>
      <c r="W39" s="18"/>
      <c r="X39" s="18" t="s">
        <v>370</v>
      </c>
      <c r="Y39" s="18"/>
      <c r="Z39" s="18"/>
      <c r="AA39" s="13" t="s">
        <v>370</v>
      </c>
      <c r="AB39" s="13"/>
      <c r="AC39" s="13"/>
      <c r="AD39" s="13"/>
    </row>
    <row r="40" spans="1:30" ht="30" customHeight="1">
      <c r="A40" s="12">
        <f t="shared" si="3"/>
        <v>37</v>
      </c>
      <c r="B40" s="116" t="s">
        <v>652</v>
      </c>
      <c r="C40" s="116" t="s">
        <v>653</v>
      </c>
      <c r="D40" s="116" t="s">
        <v>367</v>
      </c>
      <c r="E40" s="117" t="s">
        <v>277</v>
      </c>
      <c r="F40" s="568" t="s">
        <v>278</v>
      </c>
      <c r="G40" s="119" t="s">
        <v>279</v>
      </c>
      <c r="H40" s="131" t="s">
        <v>255</v>
      </c>
      <c r="I40" s="591"/>
      <c r="J40" s="591" t="s">
        <v>370</v>
      </c>
      <c r="K40" s="591"/>
      <c r="L40" s="591"/>
      <c r="M40" s="594" t="s">
        <v>370</v>
      </c>
      <c r="N40" s="591"/>
      <c r="O40" s="591"/>
      <c r="P40" s="592"/>
      <c r="Q40" s="593"/>
      <c r="R40" s="592"/>
      <c r="S40" s="592" t="s">
        <v>370</v>
      </c>
      <c r="T40" s="592"/>
      <c r="U40" s="592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ht="30" customHeight="1">
      <c r="A41" s="12">
        <f t="shared" si="3"/>
        <v>38</v>
      </c>
      <c r="B41" s="132" t="s">
        <v>673</v>
      </c>
      <c r="C41" s="132" t="s">
        <v>504</v>
      </c>
      <c r="D41" s="132" t="s">
        <v>367</v>
      </c>
      <c r="E41" s="120" t="s">
        <v>164</v>
      </c>
      <c r="F41" s="558" t="s">
        <v>165</v>
      </c>
      <c r="G41" s="563" t="s">
        <v>166</v>
      </c>
      <c r="H41" s="131" t="s">
        <v>255</v>
      </c>
      <c r="I41" s="591" t="s">
        <v>370</v>
      </c>
      <c r="J41" s="591" t="s">
        <v>370</v>
      </c>
      <c r="K41" s="591" t="s">
        <v>370</v>
      </c>
      <c r="L41" s="594" t="s">
        <v>370</v>
      </c>
      <c r="M41" s="591"/>
      <c r="N41" s="591"/>
      <c r="O41" s="591"/>
      <c r="P41" s="592"/>
      <c r="Q41" s="593"/>
      <c r="R41" s="592"/>
      <c r="S41" s="592"/>
      <c r="T41" s="592" t="s">
        <v>370</v>
      </c>
      <c r="U41" s="592" t="s">
        <v>370</v>
      </c>
      <c r="V41" s="13"/>
      <c r="W41" s="13" t="s">
        <v>370</v>
      </c>
      <c r="X41" s="13" t="s">
        <v>370</v>
      </c>
      <c r="Y41" s="13" t="s">
        <v>370</v>
      </c>
      <c r="Z41" s="13"/>
      <c r="AA41" s="13"/>
      <c r="AB41" s="13"/>
      <c r="AC41" s="13"/>
      <c r="AD41" s="13"/>
    </row>
    <row r="42" spans="1:30" ht="30" customHeight="1">
      <c r="A42" s="12">
        <f t="shared" si="3"/>
        <v>39</v>
      </c>
      <c r="B42" s="132" t="s">
        <v>700</v>
      </c>
      <c r="C42" s="132" t="s">
        <v>701</v>
      </c>
      <c r="D42" s="132" t="s">
        <v>378</v>
      </c>
      <c r="E42" s="120" t="s">
        <v>235</v>
      </c>
      <c r="F42" s="567" t="s">
        <v>236</v>
      </c>
      <c r="G42" s="548" t="s">
        <v>237</v>
      </c>
      <c r="H42" s="131" t="s">
        <v>255</v>
      </c>
      <c r="I42" s="591"/>
      <c r="J42" s="591"/>
      <c r="K42" s="591"/>
      <c r="L42" s="591"/>
      <c r="M42" s="591"/>
      <c r="N42" s="591"/>
      <c r="O42" s="591"/>
      <c r="P42" s="592"/>
      <c r="Q42" s="593"/>
      <c r="R42" s="592" t="s">
        <v>370</v>
      </c>
      <c r="S42" s="592"/>
      <c r="T42" s="592"/>
      <c r="U42" s="592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ht="30" customHeight="1">
      <c r="A43" s="12">
        <f t="shared" si="3"/>
        <v>40</v>
      </c>
      <c r="B43" s="132" t="s">
        <v>716</v>
      </c>
      <c r="C43" s="132" t="s">
        <v>428</v>
      </c>
      <c r="D43" s="132" t="s">
        <v>404</v>
      </c>
      <c r="E43" s="120" t="s">
        <v>344</v>
      </c>
      <c r="F43" s="558" t="s">
        <v>345</v>
      </c>
      <c r="G43" s="119" t="s">
        <v>346</v>
      </c>
      <c r="H43" s="131" t="s">
        <v>255</v>
      </c>
      <c r="I43" s="591" t="s">
        <v>370</v>
      </c>
      <c r="J43" s="591"/>
      <c r="K43" s="591" t="s">
        <v>370</v>
      </c>
      <c r="L43" s="591" t="s">
        <v>370</v>
      </c>
      <c r="M43" s="591" t="s">
        <v>370</v>
      </c>
      <c r="N43" s="594" t="s">
        <v>370</v>
      </c>
      <c r="O43" s="591" t="s">
        <v>370</v>
      </c>
      <c r="P43" s="592"/>
      <c r="Q43" s="593"/>
      <c r="R43" s="592"/>
      <c r="S43" s="592"/>
      <c r="T43" s="592"/>
      <c r="U43" s="592"/>
      <c r="V43" s="13"/>
      <c r="W43" s="13" t="s">
        <v>370</v>
      </c>
      <c r="X43" s="13" t="s">
        <v>370</v>
      </c>
      <c r="Y43" s="13" t="s">
        <v>370</v>
      </c>
      <c r="Z43" s="13" t="s">
        <v>370</v>
      </c>
      <c r="AA43" s="13" t="s">
        <v>370</v>
      </c>
      <c r="AB43" s="13"/>
      <c r="AC43" s="13"/>
      <c r="AD43" s="13"/>
    </row>
    <row r="44" spans="1:30" ht="30" customHeight="1">
      <c r="A44" s="12">
        <f t="shared" si="3"/>
        <v>41</v>
      </c>
      <c r="B44" s="132" t="s">
        <v>760</v>
      </c>
      <c r="C44" s="132" t="s">
        <v>668</v>
      </c>
      <c r="D44" s="132" t="s">
        <v>367</v>
      </c>
      <c r="E44" s="120" t="s">
        <v>296</v>
      </c>
      <c r="F44" s="558" t="s">
        <v>297</v>
      </c>
      <c r="G44" s="563" t="s">
        <v>298</v>
      </c>
      <c r="H44" s="131" t="s">
        <v>255</v>
      </c>
      <c r="I44" s="591" t="s">
        <v>370</v>
      </c>
      <c r="J44" s="591" t="s">
        <v>370</v>
      </c>
      <c r="K44" s="591" t="s">
        <v>370</v>
      </c>
      <c r="L44" s="594" t="s">
        <v>370</v>
      </c>
      <c r="M44" s="591"/>
      <c r="N44" s="594" t="s">
        <v>370</v>
      </c>
      <c r="O44" s="594" t="s">
        <v>370</v>
      </c>
      <c r="P44" s="592"/>
      <c r="Q44" s="593"/>
      <c r="R44" s="592"/>
      <c r="S44" s="592"/>
      <c r="T44" s="592"/>
      <c r="U44" s="592"/>
      <c r="V44" s="13" t="s">
        <v>370</v>
      </c>
      <c r="W44" s="13" t="s">
        <v>370</v>
      </c>
      <c r="X44" s="13" t="s">
        <v>370</v>
      </c>
      <c r="Y44" s="13" t="s">
        <v>370</v>
      </c>
      <c r="Z44" s="13" t="s">
        <v>370</v>
      </c>
      <c r="AA44" s="13" t="s">
        <v>370</v>
      </c>
      <c r="AB44" s="13"/>
      <c r="AC44" s="13"/>
      <c r="AD44" s="13"/>
    </row>
    <row r="45" spans="1:30" ht="30" customHeight="1">
      <c r="A45" s="12">
        <f t="shared" si="3"/>
        <v>42</v>
      </c>
      <c r="B45" s="132" t="s">
        <v>781</v>
      </c>
      <c r="C45" s="132" t="s">
        <v>782</v>
      </c>
      <c r="D45" s="132"/>
      <c r="E45" s="120"/>
      <c r="F45" s="558"/>
      <c r="G45" s="563"/>
      <c r="H45" s="131"/>
      <c r="I45" s="591"/>
      <c r="J45" s="591"/>
      <c r="K45" s="591"/>
      <c r="L45" s="594"/>
      <c r="M45" s="591"/>
      <c r="N45" s="594"/>
      <c r="O45" s="594"/>
      <c r="P45" s="592"/>
      <c r="Q45" s="593"/>
      <c r="R45" s="592"/>
      <c r="S45" s="592"/>
      <c r="T45" s="592"/>
      <c r="U45" s="592"/>
      <c r="V45" s="13"/>
      <c r="W45" s="13"/>
      <c r="X45" s="13"/>
      <c r="Y45" s="13"/>
      <c r="Z45" s="13" t="s">
        <v>370</v>
      </c>
      <c r="AA45" s="13"/>
      <c r="AB45" s="13"/>
      <c r="AC45" s="13"/>
      <c r="AD45" s="13"/>
    </row>
    <row r="46" spans="1:30" ht="30" customHeight="1">
      <c r="A46" s="12">
        <f t="shared" si="3"/>
        <v>43</v>
      </c>
      <c r="B46" s="116" t="s">
        <v>654</v>
      </c>
      <c r="C46" s="116" t="s">
        <v>655</v>
      </c>
      <c r="D46" s="116" t="s">
        <v>373</v>
      </c>
      <c r="E46" s="117" t="s">
        <v>268</v>
      </c>
      <c r="F46" s="556" t="s">
        <v>269</v>
      </c>
      <c r="G46" s="119" t="s">
        <v>270</v>
      </c>
      <c r="H46" s="131" t="s">
        <v>255</v>
      </c>
      <c r="I46" s="591"/>
      <c r="J46" s="591"/>
      <c r="K46" s="591"/>
      <c r="L46" s="591"/>
      <c r="M46" s="591"/>
      <c r="N46" s="591"/>
      <c r="O46" s="591"/>
      <c r="P46" s="592"/>
      <c r="Q46" s="593"/>
      <c r="R46" s="592"/>
      <c r="S46" s="592"/>
      <c r="T46" s="592"/>
      <c r="U46" s="592" t="s">
        <v>370</v>
      </c>
      <c r="V46" s="13" t="s">
        <v>370</v>
      </c>
      <c r="W46" s="13"/>
      <c r="X46" s="13"/>
      <c r="Y46" s="13"/>
      <c r="Z46" s="13"/>
      <c r="AA46" s="13"/>
      <c r="AB46" s="13"/>
      <c r="AC46" s="13"/>
      <c r="AD46" s="13"/>
    </row>
    <row r="47" spans="1:30" ht="30" customHeight="1">
      <c r="A47" s="12">
        <f t="shared" si="3"/>
        <v>44</v>
      </c>
      <c r="B47" s="140" t="s">
        <v>551</v>
      </c>
      <c r="C47" s="140"/>
      <c r="D47" s="140"/>
      <c r="E47" s="138"/>
      <c r="F47" s="567"/>
      <c r="G47" s="565"/>
      <c r="H47" s="131" t="s">
        <v>255</v>
      </c>
      <c r="I47" s="597"/>
      <c r="J47" s="597"/>
      <c r="K47" s="597"/>
      <c r="L47" s="597"/>
      <c r="M47" s="598"/>
      <c r="N47" s="598"/>
      <c r="O47" s="598"/>
      <c r="P47" s="599"/>
      <c r="Q47" s="600"/>
      <c r="R47" s="592"/>
      <c r="S47" s="592"/>
      <c r="T47" s="592" t="s">
        <v>370</v>
      </c>
      <c r="U47" s="592"/>
      <c r="V47" s="13"/>
      <c r="W47" s="13" t="s">
        <v>370</v>
      </c>
      <c r="X47" s="13" t="s">
        <v>370</v>
      </c>
      <c r="Y47" s="13"/>
      <c r="Z47" s="13"/>
      <c r="AA47" s="13"/>
      <c r="AB47" s="13"/>
      <c r="AC47" s="13"/>
      <c r="AD47" s="13"/>
    </row>
    <row r="48" spans="1:30" ht="30" customHeight="1">
      <c r="A48" s="12">
        <f t="shared" si="3"/>
        <v>45</v>
      </c>
      <c r="B48" s="118" t="s">
        <v>490</v>
      </c>
      <c r="C48" s="118" t="s">
        <v>624</v>
      </c>
      <c r="D48" s="118" t="s">
        <v>378</v>
      </c>
      <c r="E48" s="131" t="s">
        <v>625</v>
      </c>
      <c r="F48" s="558" t="s">
        <v>626</v>
      </c>
      <c r="G48" s="572" t="s">
        <v>728</v>
      </c>
      <c r="H48" s="131" t="s">
        <v>255</v>
      </c>
      <c r="I48" s="592"/>
      <c r="J48" s="592"/>
      <c r="K48" s="592" t="s">
        <v>370</v>
      </c>
      <c r="L48" s="592"/>
      <c r="M48" s="592"/>
      <c r="N48" s="592"/>
      <c r="O48" s="601"/>
      <c r="P48" s="596"/>
      <c r="Q48" s="591"/>
      <c r="R48" s="592"/>
      <c r="S48" s="592"/>
      <c r="T48" s="592"/>
      <c r="U48" s="592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ht="30" customHeight="1">
      <c r="A49" s="12">
        <f t="shared" si="3"/>
        <v>46</v>
      </c>
      <c r="B49" s="118" t="s">
        <v>783</v>
      </c>
      <c r="C49" s="118" t="s">
        <v>784</v>
      </c>
      <c r="D49" s="118"/>
      <c r="E49" s="131"/>
      <c r="F49" s="558"/>
      <c r="G49" s="572"/>
      <c r="H49" s="131"/>
      <c r="I49" s="592"/>
      <c r="J49" s="592"/>
      <c r="K49" s="592"/>
      <c r="L49" s="592"/>
      <c r="M49" s="592"/>
      <c r="N49" s="592"/>
      <c r="O49" s="601"/>
      <c r="P49" s="596"/>
      <c r="Q49" s="591"/>
      <c r="R49" s="592"/>
      <c r="S49" s="592"/>
      <c r="T49" s="592"/>
      <c r="U49" s="592"/>
      <c r="V49" s="13"/>
      <c r="W49" s="13"/>
      <c r="X49" s="13"/>
      <c r="Y49" s="13"/>
      <c r="Z49" s="13" t="s">
        <v>370</v>
      </c>
      <c r="AA49" s="13"/>
      <c r="AB49" s="13"/>
      <c r="AC49" s="13"/>
      <c r="AD49" s="13"/>
    </row>
    <row r="50" spans="1:30" ht="30" customHeight="1">
      <c r="A50" s="12">
        <f t="shared" si="3"/>
        <v>47</v>
      </c>
      <c r="B50" s="118" t="s">
        <v>715</v>
      </c>
      <c r="C50" s="118"/>
      <c r="D50" s="118"/>
      <c r="E50" s="131"/>
      <c r="F50" s="567"/>
      <c r="G50" s="566"/>
      <c r="H50" s="131" t="s">
        <v>255</v>
      </c>
      <c r="I50" s="592"/>
      <c r="J50" s="592"/>
      <c r="K50" s="592"/>
      <c r="L50" s="592" t="s">
        <v>370</v>
      </c>
      <c r="M50" s="592"/>
      <c r="N50" s="592"/>
      <c r="O50" s="601" t="s">
        <v>370</v>
      </c>
      <c r="P50" s="596"/>
      <c r="Q50" s="591"/>
      <c r="R50" s="592"/>
      <c r="S50" s="592" t="s">
        <v>370</v>
      </c>
      <c r="T50" s="592"/>
      <c r="U50" s="592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30" customHeight="1">
      <c r="A51" s="12">
        <f t="shared" si="3"/>
        <v>48</v>
      </c>
      <c r="B51" s="140" t="s">
        <v>605</v>
      </c>
      <c r="C51" s="140" t="s">
        <v>606</v>
      </c>
      <c r="D51" s="140" t="s">
        <v>367</v>
      </c>
      <c r="E51" s="138"/>
      <c r="F51" s="602"/>
      <c r="G51" s="565"/>
      <c r="H51" s="131" t="s">
        <v>255</v>
      </c>
      <c r="I51" s="592"/>
      <c r="J51" s="592"/>
      <c r="K51" s="592"/>
      <c r="L51" s="592"/>
      <c r="M51" s="592"/>
      <c r="N51" s="592"/>
      <c r="O51" s="601"/>
      <c r="P51" s="596"/>
      <c r="Q51" s="591"/>
      <c r="R51" s="592"/>
      <c r="S51" s="592"/>
      <c r="T51" s="592"/>
      <c r="U51" s="592"/>
      <c r="V51" s="13"/>
      <c r="W51" s="13"/>
      <c r="X51" s="13"/>
      <c r="Y51" s="13" t="s">
        <v>370</v>
      </c>
      <c r="Z51" s="13" t="s">
        <v>370</v>
      </c>
      <c r="AA51" s="13"/>
      <c r="AB51" s="13"/>
      <c r="AC51" s="13"/>
      <c r="AD51" s="13"/>
    </row>
    <row r="52" spans="1:30" ht="30" customHeight="1">
      <c r="A52" s="12">
        <f t="shared" si="3"/>
        <v>49</v>
      </c>
      <c r="B52" s="140" t="s">
        <v>761</v>
      </c>
      <c r="C52" s="140" t="s">
        <v>758</v>
      </c>
      <c r="D52" s="140" t="s">
        <v>373</v>
      </c>
      <c r="E52" s="556" t="s">
        <v>780</v>
      </c>
      <c r="F52" s="622" t="s">
        <v>778</v>
      </c>
      <c r="G52" s="623" t="s">
        <v>779</v>
      </c>
      <c r="H52" s="131" t="s">
        <v>255</v>
      </c>
      <c r="I52" s="592"/>
      <c r="J52" s="592"/>
      <c r="K52" s="592"/>
      <c r="L52" s="592"/>
      <c r="M52" s="592"/>
      <c r="N52" s="592"/>
      <c r="O52" s="601"/>
      <c r="P52" s="596"/>
      <c r="Q52" s="591"/>
      <c r="R52" s="592"/>
      <c r="S52" s="592"/>
      <c r="T52" s="592"/>
      <c r="U52" s="592"/>
      <c r="V52" s="13"/>
      <c r="W52" s="13" t="s">
        <v>370</v>
      </c>
      <c r="X52" s="13" t="s">
        <v>370</v>
      </c>
      <c r="Y52" s="13" t="s">
        <v>370</v>
      </c>
      <c r="Z52" s="13" t="s">
        <v>370</v>
      </c>
      <c r="AA52" s="13" t="s">
        <v>370</v>
      </c>
      <c r="AB52" s="13"/>
      <c r="AC52" s="13"/>
      <c r="AD52" s="13"/>
    </row>
    <row r="53" spans="1:30" ht="30" customHeight="1">
      <c r="A53" s="12">
        <f t="shared" si="3"/>
        <v>50</v>
      </c>
      <c r="B53" s="140" t="s">
        <v>738</v>
      </c>
      <c r="C53" s="140"/>
      <c r="D53" s="140"/>
      <c r="E53" s="138"/>
      <c r="F53" s="602"/>
      <c r="G53" s="142"/>
      <c r="H53" s="131" t="s">
        <v>255</v>
      </c>
      <c r="I53" s="592"/>
      <c r="J53" s="592"/>
      <c r="K53" s="592"/>
      <c r="L53" s="592"/>
      <c r="M53" s="592"/>
      <c r="N53" s="592"/>
      <c r="O53" s="601"/>
      <c r="P53" s="596"/>
      <c r="Q53" s="591"/>
      <c r="R53" s="592"/>
      <c r="S53" s="592"/>
      <c r="T53" s="592" t="s">
        <v>370</v>
      </c>
      <c r="U53" s="592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ht="30" customHeight="1">
      <c r="A54" s="12">
        <f t="shared" si="3"/>
        <v>51</v>
      </c>
      <c r="B54" s="132" t="s">
        <v>753</v>
      </c>
      <c r="C54" s="132"/>
      <c r="D54" s="132"/>
      <c r="E54" s="132"/>
      <c r="F54" s="567"/>
      <c r="G54" s="132"/>
      <c r="H54" s="131" t="s">
        <v>255</v>
      </c>
      <c r="I54" s="592"/>
      <c r="J54" s="592"/>
      <c r="K54" s="592"/>
      <c r="L54" s="592"/>
      <c r="M54" s="592"/>
      <c r="N54" s="592"/>
      <c r="O54" s="595"/>
      <c r="P54" s="595"/>
      <c r="Q54" s="595"/>
      <c r="R54" s="592"/>
      <c r="S54" s="592"/>
      <c r="T54" s="599"/>
      <c r="U54" s="592"/>
      <c r="V54" s="13" t="s">
        <v>370</v>
      </c>
      <c r="W54" s="13"/>
      <c r="X54" s="13"/>
      <c r="Y54" s="13"/>
      <c r="Z54" s="13"/>
      <c r="AA54" s="13"/>
      <c r="AB54" s="13"/>
      <c r="AC54" s="13"/>
      <c r="AD54" s="13"/>
    </row>
    <row r="55" spans="1:30" ht="30" customHeight="1">
      <c r="A55" s="12">
        <f t="shared" si="3"/>
        <v>52</v>
      </c>
      <c r="B55" s="174" t="s">
        <v>656</v>
      </c>
      <c r="C55" s="174" t="s">
        <v>502</v>
      </c>
      <c r="D55" s="174" t="s">
        <v>367</v>
      </c>
      <c r="E55" s="576" t="s">
        <v>271</v>
      </c>
      <c r="F55" s="577" t="s">
        <v>272</v>
      </c>
      <c r="G55" s="578" t="s">
        <v>273</v>
      </c>
      <c r="H55" s="131" t="s">
        <v>255</v>
      </c>
      <c r="I55" s="592" t="s">
        <v>370</v>
      </c>
      <c r="J55" s="592" t="s">
        <v>370</v>
      </c>
      <c r="K55" s="592" t="s">
        <v>370</v>
      </c>
      <c r="L55" s="592" t="s">
        <v>370</v>
      </c>
      <c r="M55" s="603" t="s">
        <v>370</v>
      </c>
      <c r="N55" s="592"/>
      <c r="O55" s="604"/>
      <c r="P55" s="592"/>
      <c r="Q55" s="592"/>
      <c r="R55" s="592"/>
      <c r="S55" s="592"/>
      <c r="T55" s="599"/>
      <c r="U55" s="592"/>
      <c r="V55" s="13"/>
      <c r="W55" s="13"/>
      <c r="X55" s="13"/>
      <c r="Y55" s="13" t="s">
        <v>370</v>
      </c>
      <c r="Z55" s="13"/>
      <c r="AA55" s="13"/>
      <c r="AB55" s="13"/>
      <c r="AC55" s="13"/>
      <c r="AD55" s="13"/>
    </row>
    <row r="56" spans="1:30" ht="30" customHeight="1">
      <c r="A56" s="12">
        <f t="shared" si="3"/>
        <v>53</v>
      </c>
      <c r="B56" s="132" t="s">
        <v>699</v>
      </c>
      <c r="C56" s="132" t="s">
        <v>610</v>
      </c>
      <c r="D56" s="132" t="s">
        <v>404</v>
      </c>
      <c r="E56" s="120" t="s">
        <v>232</v>
      </c>
      <c r="F56" s="558" t="s">
        <v>233</v>
      </c>
      <c r="G56" s="563" t="s">
        <v>234</v>
      </c>
      <c r="H56" s="131" t="s">
        <v>255</v>
      </c>
      <c r="I56" s="592"/>
      <c r="J56" s="592"/>
      <c r="K56" s="592"/>
      <c r="L56" s="592"/>
      <c r="M56" s="592"/>
      <c r="N56" s="592"/>
      <c r="O56" s="592"/>
      <c r="P56" s="592"/>
      <c r="Q56" s="592"/>
      <c r="R56" s="592"/>
      <c r="S56" s="592"/>
      <c r="T56" s="592"/>
      <c r="U56" s="592"/>
      <c r="V56" s="13"/>
      <c r="W56" s="13" t="s">
        <v>370</v>
      </c>
      <c r="X56" s="13" t="s">
        <v>370</v>
      </c>
      <c r="Y56" s="13"/>
      <c r="Z56" s="13"/>
      <c r="AA56" s="13"/>
      <c r="AB56" s="13"/>
      <c r="AC56" s="13"/>
      <c r="AD56" s="13"/>
    </row>
    <row r="57" spans="1:30" ht="30" customHeight="1">
      <c r="A57" s="12">
        <f t="shared" si="3"/>
        <v>54</v>
      </c>
      <c r="B57" s="132"/>
      <c r="C57" s="132"/>
      <c r="D57" s="132"/>
      <c r="E57" s="120"/>
      <c r="F57" s="567"/>
      <c r="G57" s="571"/>
      <c r="H57" s="131" t="s">
        <v>255</v>
      </c>
      <c r="I57" s="592"/>
      <c r="J57" s="592"/>
      <c r="K57" s="592"/>
      <c r="L57" s="592"/>
      <c r="M57" s="592"/>
      <c r="N57" s="592"/>
      <c r="O57" s="592"/>
      <c r="P57" s="592"/>
      <c r="Q57" s="592"/>
      <c r="R57" s="592"/>
      <c r="S57" s="592"/>
      <c r="T57" s="592"/>
      <c r="U57" s="592"/>
      <c r="V57" s="13"/>
      <c r="W57" s="13"/>
      <c r="X57" s="13"/>
      <c r="Y57" s="13"/>
      <c r="Z57" s="13"/>
      <c r="AA57" s="13"/>
      <c r="AB57" s="13"/>
      <c r="AC57" s="13"/>
      <c r="AD57" s="13"/>
    </row>
    <row r="58" spans="1:30" ht="30" customHeight="1">
      <c r="A58" s="12">
        <f t="shared" si="3"/>
        <v>55</v>
      </c>
      <c r="B58" s="132"/>
      <c r="C58" s="132"/>
      <c r="D58" s="132"/>
      <c r="E58" s="120"/>
      <c r="F58" s="567"/>
      <c r="G58" s="571"/>
      <c r="H58" s="131" t="s">
        <v>255</v>
      </c>
      <c r="I58" s="592"/>
      <c r="J58" s="592"/>
      <c r="K58" s="592"/>
      <c r="L58" s="592"/>
      <c r="M58" s="592"/>
      <c r="N58" s="592"/>
      <c r="O58" s="592"/>
      <c r="P58" s="592"/>
      <c r="Q58" s="592"/>
      <c r="R58" s="592"/>
      <c r="S58" s="592"/>
      <c r="T58" s="592"/>
      <c r="U58" s="592"/>
      <c r="V58" s="13"/>
      <c r="W58" s="13"/>
      <c r="X58" s="13"/>
      <c r="Y58" s="13"/>
      <c r="Z58" s="13"/>
      <c r="AA58" s="13"/>
      <c r="AB58" s="13"/>
      <c r="AC58" s="13"/>
      <c r="AD58" s="13"/>
    </row>
    <row r="59" spans="1:30" ht="30" customHeight="1">
      <c r="A59" s="12">
        <f t="shared" si="3"/>
        <v>56</v>
      </c>
      <c r="B59" s="132"/>
      <c r="C59" s="132"/>
      <c r="D59" s="132"/>
      <c r="E59" s="120"/>
      <c r="F59" s="567"/>
      <c r="G59" s="571"/>
      <c r="H59" s="131" t="s">
        <v>255</v>
      </c>
      <c r="I59" s="592"/>
      <c r="J59" s="592"/>
      <c r="K59" s="592"/>
      <c r="L59" s="592"/>
      <c r="M59" s="592"/>
      <c r="N59" s="592"/>
      <c r="O59" s="592"/>
      <c r="P59" s="592"/>
      <c r="Q59" s="592"/>
      <c r="R59" s="592"/>
      <c r="S59" s="592"/>
      <c r="T59" s="592"/>
      <c r="U59" s="592"/>
      <c r="V59" s="13"/>
      <c r="W59" s="13"/>
      <c r="X59" s="13"/>
      <c r="Y59" s="13"/>
      <c r="Z59" s="13"/>
      <c r="AA59" s="13"/>
      <c r="AB59" s="13"/>
      <c r="AC59" s="13"/>
      <c r="AD59" s="13"/>
    </row>
    <row r="60" spans="1:30" ht="30" customHeight="1">
      <c r="A60" s="12"/>
      <c r="B60" s="47"/>
      <c r="C60" s="47"/>
      <c r="D60" s="47"/>
      <c r="E60" s="47"/>
      <c r="F60" s="47"/>
      <c r="G60" s="47"/>
      <c r="H60" s="47"/>
      <c r="I60" s="573"/>
      <c r="J60" s="573"/>
      <c r="K60" s="573"/>
      <c r="L60" s="573"/>
      <c r="M60" s="573"/>
      <c r="N60" s="12"/>
      <c r="O60" s="12"/>
      <c r="P60" s="12"/>
      <c r="Q60" s="12"/>
      <c r="R60" s="573"/>
      <c r="S60" s="573"/>
      <c r="T60" s="573"/>
      <c r="U60" s="573"/>
      <c r="V60" s="573"/>
      <c r="W60" s="573"/>
      <c r="X60" s="573"/>
      <c r="Y60" s="573"/>
      <c r="Z60" s="573"/>
    </row>
    <row r="61" spans="1:30" ht="30" customHeight="1">
      <c r="A61" s="12"/>
      <c r="B61" s="47"/>
      <c r="C61" s="47"/>
      <c r="D61" s="47"/>
      <c r="E61" s="47"/>
      <c r="F61" s="47"/>
      <c r="G61" s="47"/>
      <c r="H61" s="47"/>
      <c r="I61" s="573"/>
      <c r="J61" s="573"/>
      <c r="K61" s="573"/>
      <c r="L61" s="573"/>
      <c r="M61" s="573"/>
      <c r="N61" s="12"/>
      <c r="O61" s="12"/>
      <c r="P61" s="12"/>
      <c r="Q61" s="12"/>
      <c r="R61" s="573"/>
      <c r="S61" s="573"/>
      <c r="T61" s="573"/>
      <c r="U61" s="573"/>
      <c r="V61" s="573">
        <f>COUNTIF(V4:V59,"YES")</f>
        <v>12</v>
      </c>
      <c r="W61" s="573">
        <f t="shared" ref="W61:AD61" si="4">COUNTIF(W4:W59,"YES")</f>
        <v>12</v>
      </c>
      <c r="X61" s="573">
        <f t="shared" si="4"/>
        <v>17</v>
      </c>
      <c r="Y61" s="573">
        <f t="shared" si="4"/>
        <v>15</v>
      </c>
      <c r="Z61" s="573">
        <f t="shared" si="4"/>
        <v>17</v>
      </c>
      <c r="AA61" s="47">
        <f t="shared" si="4"/>
        <v>20</v>
      </c>
      <c r="AB61" s="47">
        <f t="shared" si="4"/>
        <v>0</v>
      </c>
      <c r="AC61" s="47">
        <f t="shared" si="4"/>
        <v>0</v>
      </c>
      <c r="AD61" s="47">
        <f t="shared" si="4"/>
        <v>0</v>
      </c>
    </row>
    <row r="62" spans="1:30">
      <c r="B62" s="47"/>
      <c r="C62" s="47"/>
      <c r="D62" s="47"/>
      <c r="E62" s="47"/>
      <c r="F62" s="47"/>
      <c r="G62" s="47"/>
      <c r="H62" s="47"/>
    </row>
    <row r="63" spans="1:30">
      <c r="B63" s="47"/>
      <c r="C63" s="47"/>
      <c r="D63" s="47"/>
      <c r="E63" s="47"/>
      <c r="F63" s="47"/>
      <c r="G63" s="47"/>
      <c r="H63" s="47"/>
    </row>
    <row r="64" spans="1:30">
      <c r="B64" s="47"/>
      <c r="C64" s="47"/>
      <c r="D64" s="47"/>
      <c r="E64" s="47"/>
      <c r="F64" s="47"/>
      <c r="G64" s="47"/>
      <c r="H64" s="47"/>
    </row>
    <row r="65" spans="2:8">
      <c r="B65" s="47"/>
      <c r="C65" s="47"/>
      <c r="D65" s="47"/>
      <c r="E65" s="47"/>
      <c r="F65" s="47"/>
      <c r="G65" s="47"/>
      <c r="H65" s="47"/>
    </row>
    <row r="66" spans="2:8">
      <c r="B66" s="47"/>
      <c r="C66" s="47"/>
      <c r="D66" s="47"/>
      <c r="E66" s="47"/>
      <c r="F66" s="47"/>
      <c r="G66" s="47"/>
      <c r="H66" s="47"/>
    </row>
    <row r="67" spans="2:8">
      <c r="B67" s="47"/>
      <c r="C67" s="47"/>
      <c r="D67" s="47"/>
      <c r="E67" s="47"/>
      <c r="F67" s="47"/>
      <c r="G67" s="47"/>
      <c r="H67" s="47"/>
    </row>
    <row r="68" spans="2:8">
      <c r="B68" s="47"/>
      <c r="C68" s="47"/>
      <c r="D68" s="47"/>
      <c r="E68" s="47"/>
      <c r="F68" s="47"/>
      <c r="G68" s="47"/>
      <c r="H68" s="47"/>
    </row>
    <row r="69" spans="2:8">
      <c r="B69" s="47"/>
      <c r="C69" s="47"/>
      <c r="D69" s="47"/>
      <c r="E69" s="47"/>
      <c r="F69" s="47"/>
      <c r="G69" s="47"/>
      <c r="H69" s="47"/>
    </row>
    <row r="70" spans="2:8">
      <c r="B70" s="47"/>
      <c r="C70" s="47"/>
      <c r="D70" s="47"/>
      <c r="E70" s="47"/>
      <c r="F70" s="47"/>
      <c r="G70" s="47"/>
      <c r="H70" s="47"/>
    </row>
    <row r="71" spans="2:8">
      <c r="B71" s="47"/>
      <c r="C71" s="47"/>
      <c r="D71" s="47"/>
      <c r="E71" s="47"/>
      <c r="F71" s="47"/>
      <c r="G71" s="47"/>
      <c r="H71" s="47"/>
    </row>
    <row r="72" spans="2:8">
      <c r="B72" s="47"/>
      <c r="C72" s="47"/>
      <c r="D72" s="47"/>
      <c r="E72" s="47"/>
      <c r="F72" s="47"/>
      <c r="G72" s="47"/>
      <c r="H72" s="47"/>
    </row>
    <row r="73" spans="2:8">
      <c r="B73" s="47"/>
      <c r="C73" s="47"/>
      <c r="D73" s="47"/>
      <c r="E73" s="47"/>
      <c r="F73" s="47"/>
      <c r="G73" s="47"/>
      <c r="H73" s="47"/>
    </row>
    <row r="74" spans="2:8">
      <c r="B74" s="47"/>
      <c r="C74" s="47"/>
      <c r="D74" s="47"/>
      <c r="E74" s="47"/>
      <c r="F74" s="47"/>
      <c r="G74" s="47"/>
      <c r="H74" s="47"/>
    </row>
    <row r="75" spans="2:8">
      <c r="B75" s="47"/>
      <c r="C75" s="47"/>
      <c r="D75" s="47"/>
      <c r="E75" s="47"/>
      <c r="F75" s="47"/>
      <c r="G75" s="47"/>
      <c r="H75" s="47"/>
    </row>
    <row r="76" spans="2:8">
      <c r="B76" s="47"/>
      <c r="C76" s="47"/>
      <c r="D76" s="47"/>
      <c r="E76" s="47"/>
      <c r="F76" s="47"/>
      <c r="G76" s="47"/>
      <c r="H76" s="47"/>
    </row>
    <row r="77" spans="2:8">
      <c r="B77" s="47"/>
      <c r="C77" s="47"/>
      <c r="D77" s="47"/>
      <c r="E77" s="47"/>
      <c r="F77" s="47"/>
      <c r="G77" s="47"/>
      <c r="H77" s="47"/>
    </row>
    <row r="78" spans="2:8">
      <c r="B78" s="47"/>
      <c r="C78" s="47"/>
      <c r="D78" s="47"/>
      <c r="E78" s="47"/>
      <c r="F78" s="47"/>
      <c r="G78" s="47"/>
      <c r="H78" s="47"/>
    </row>
    <row r="79" spans="2:8">
      <c r="B79" s="47"/>
      <c r="C79" s="47"/>
      <c r="D79" s="47"/>
      <c r="E79" s="47"/>
      <c r="F79" s="47"/>
      <c r="G79" s="47"/>
      <c r="H79" s="47"/>
    </row>
    <row r="80" spans="2:8">
      <c r="B80" s="47"/>
      <c r="C80" s="47"/>
      <c r="D80" s="47"/>
      <c r="E80" s="47"/>
      <c r="F80" s="47"/>
      <c r="G80" s="47"/>
      <c r="H80" s="47"/>
    </row>
    <row r="81" spans="2:8">
      <c r="B81" s="47"/>
      <c r="C81" s="47"/>
      <c r="D81" s="47"/>
      <c r="E81" s="47"/>
      <c r="F81" s="47"/>
      <c r="G81" s="47"/>
      <c r="H81" s="47"/>
    </row>
    <row r="82" spans="2:8">
      <c r="B82" s="47"/>
      <c r="C82" s="47"/>
      <c r="D82" s="47"/>
      <c r="E82" s="47"/>
      <c r="F82" s="47"/>
      <c r="G82" s="47"/>
      <c r="H82" s="47"/>
    </row>
    <row r="83" spans="2:8">
      <c r="B83" s="47"/>
      <c r="C83" s="47"/>
      <c r="D83" s="47"/>
      <c r="E83" s="47"/>
      <c r="F83" s="47"/>
      <c r="G83" s="47"/>
      <c r="H83" s="47"/>
    </row>
    <row r="84" spans="2:8">
      <c r="B84" s="47"/>
      <c r="C84" s="47"/>
      <c r="D84" s="47"/>
      <c r="E84" s="47"/>
      <c r="F84" s="47"/>
      <c r="G84" s="47"/>
      <c r="H84" s="47"/>
    </row>
    <row r="85" spans="2:8">
      <c r="B85" s="47"/>
      <c r="C85" s="47"/>
      <c r="D85" s="47"/>
      <c r="E85" s="47"/>
      <c r="F85" s="47"/>
      <c r="G85" s="47"/>
      <c r="H85" s="47"/>
    </row>
    <row r="86" spans="2:8">
      <c r="B86" s="47"/>
      <c r="C86" s="47"/>
      <c r="D86" s="47"/>
      <c r="E86" s="47"/>
      <c r="F86" s="47"/>
      <c r="G86" s="47"/>
      <c r="H86" s="47"/>
    </row>
    <row r="87" spans="2:8">
      <c r="B87" s="47"/>
      <c r="C87" s="47"/>
      <c r="D87" s="47"/>
      <c r="E87" s="47"/>
      <c r="F87" s="47"/>
      <c r="G87" s="47"/>
      <c r="H87" s="47"/>
    </row>
    <row r="88" spans="2:8">
      <c r="B88" s="47"/>
      <c r="C88" s="47"/>
      <c r="D88" s="47"/>
      <c r="E88" s="47"/>
      <c r="F88" s="47"/>
      <c r="G88" s="47"/>
      <c r="H88" s="47"/>
    </row>
    <row r="89" spans="2:8">
      <c r="B89" s="47"/>
      <c r="C89" s="47"/>
      <c r="D89" s="47"/>
      <c r="E89" s="47"/>
      <c r="F89" s="47"/>
      <c r="G89" s="47"/>
      <c r="H89" s="47"/>
    </row>
    <row r="90" spans="2:8">
      <c r="B90" s="47"/>
      <c r="C90" s="47"/>
      <c r="D90" s="47"/>
      <c r="E90" s="47"/>
      <c r="F90" s="47"/>
      <c r="G90" s="47"/>
      <c r="H90" s="47"/>
    </row>
    <row r="91" spans="2:8">
      <c r="B91" s="47"/>
      <c r="C91" s="47"/>
      <c r="D91" s="47"/>
      <c r="E91" s="47"/>
      <c r="F91" s="47"/>
      <c r="G91" s="47"/>
      <c r="H91" s="47"/>
    </row>
    <row r="92" spans="2:8">
      <c r="B92" s="47"/>
      <c r="C92" s="47"/>
      <c r="D92" s="47"/>
      <c r="E92" s="47"/>
      <c r="F92" s="47"/>
      <c r="G92" s="47"/>
      <c r="H92" s="47"/>
    </row>
    <row r="93" spans="2:8">
      <c r="B93" s="47"/>
      <c r="C93" s="47"/>
      <c r="D93" s="47"/>
      <c r="E93" s="47"/>
      <c r="F93" s="47"/>
      <c r="G93" s="47"/>
      <c r="H93" s="47"/>
    </row>
    <row r="94" spans="2:8">
      <c r="B94" s="47"/>
      <c r="C94" s="47"/>
      <c r="D94" s="47"/>
      <c r="E94" s="47"/>
      <c r="F94" s="47"/>
      <c r="G94" s="47"/>
      <c r="H94" s="47"/>
    </row>
    <row r="95" spans="2:8">
      <c r="B95" s="47"/>
      <c r="C95" s="47"/>
      <c r="D95" s="47"/>
      <c r="E95" s="47"/>
      <c r="F95" s="47"/>
      <c r="G95" s="47"/>
      <c r="H95" s="47"/>
    </row>
    <row r="96" spans="2:8">
      <c r="B96" s="47"/>
      <c r="C96" s="47"/>
      <c r="D96" s="47"/>
      <c r="E96" s="47"/>
      <c r="F96" s="47"/>
      <c r="G96" s="47"/>
      <c r="H96" s="47"/>
    </row>
    <row r="97" spans="2:8">
      <c r="B97" s="47"/>
      <c r="C97" s="47"/>
      <c r="D97" s="47"/>
      <c r="E97" s="47"/>
      <c r="F97" s="47"/>
      <c r="G97" s="47"/>
      <c r="H97" s="47"/>
    </row>
    <row r="98" spans="2:8">
      <c r="B98" s="47"/>
      <c r="C98" s="47"/>
      <c r="D98" s="47"/>
      <c r="E98" s="47"/>
      <c r="F98" s="47"/>
      <c r="G98" s="47"/>
      <c r="H98" s="47"/>
    </row>
    <row r="99" spans="2:8">
      <c r="B99" s="47"/>
      <c r="C99" s="47"/>
      <c r="D99" s="47"/>
      <c r="E99" s="47"/>
      <c r="F99" s="47"/>
      <c r="G99" s="47"/>
      <c r="H99" s="47"/>
    </row>
    <row r="100" spans="2:8">
      <c r="B100" s="47"/>
      <c r="C100" s="47"/>
      <c r="D100" s="47"/>
      <c r="E100" s="47"/>
      <c r="F100" s="47"/>
      <c r="G100" s="47"/>
      <c r="H100" s="47"/>
    </row>
    <row r="101" spans="2:8">
      <c r="B101" s="47"/>
      <c r="C101" s="47"/>
      <c r="D101" s="47"/>
      <c r="E101" s="47"/>
      <c r="F101" s="47"/>
      <c r="G101" s="47"/>
      <c r="H101" s="47"/>
    </row>
    <row r="102" spans="2:8">
      <c r="B102" s="47"/>
      <c r="C102" s="47"/>
      <c r="D102" s="47"/>
      <c r="E102" s="47"/>
      <c r="F102" s="47"/>
      <c r="G102" s="47"/>
      <c r="H102" s="47"/>
    </row>
    <row r="103" spans="2:8">
      <c r="B103" s="47"/>
      <c r="C103" s="47"/>
      <c r="D103" s="47"/>
      <c r="E103" s="47"/>
      <c r="F103" s="47"/>
      <c r="G103" s="47"/>
      <c r="H103" s="47"/>
    </row>
    <row r="104" spans="2:8">
      <c r="B104" s="47"/>
      <c r="C104" s="47"/>
      <c r="D104" s="47"/>
      <c r="E104" s="47"/>
      <c r="F104" s="47"/>
      <c r="G104" s="47"/>
      <c r="H104" s="47"/>
    </row>
    <row r="105" spans="2:8">
      <c r="B105" s="47"/>
      <c r="C105" s="47"/>
      <c r="D105" s="47"/>
      <c r="E105" s="47"/>
      <c r="F105" s="47"/>
      <c r="G105" s="47"/>
      <c r="H105" s="47"/>
    </row>
    <row r="106" spans="2:8">
      <c r="B106" s="47"/>
      <c r="C106" s="47"/>
      <c r="D106" s="47"/>
      <c r="E106" s="47"/>
      <c r="F106" s="47"/>
      <c r="G106" s="47"/>
      <c r="H106" s="47"/>
    </row>
    <row r="107" spans="2:8">
      <c r="B107" s="47"/>
      <c r="C107" s="47"/>
      <c r="D107" s="47"/>
      <c r="E107" s="47"/>
      <c r="F107" s="47"/>
      <c r="G107" s="47"/>
      <c r="H107" s="47"/>
    </row>
    <row r="108" spans="2:8">
      <c r="B108" s="47"/>
      <c r="C108" s="47"/>
      <c r="D108" s="47"/>
      <c r="E108" s="47"/>
      <c r="F108" s="47"/>
      <c r="G108" s="47"/>
      <c r="H108" s="47"/>
    </row>
    <row r="109" spans="2:8">
      <c r="B109" s="47"/>
      <c r="C109" s="47"/>
      <c r="D109" s="47"/>
      <c r="E109" s="47"/>
      <c r="F109" s="47"/>
      <c r="G109" s="47"/>
      <c r="H109" s="47"/>
    </row>
    <row r="110" spans="2:8">
      <c r="B110" s="47"/>
      <c r="C110" s="47"/>
      <c r="D110" s="47"/>
      <c r="E110" s="47"/>
      <c r="F110" s="47"/>
      <c r="G110" s="47"/>
      <c r="H110" s="47"/>
    </row>
    <row r="111" spans="2:8">
      <c r="B111" s="47"/>
      <c r="C111" s="47"/>
      <c r="D111" s="47"/>
      <c r="E111" s="47"/>
      <c r="F111" s="47"/>
      <c r="G111" s="47"/>
      <c r="H111" s="47"/>
    </row>
    <row r="112" spans="2:8">
      <c r="B112" s="47"/>
      <c r="C112" s="47"/>
      <c r="D112" s="47"/>
      <c r="E112" s="47"/>
      <c r="F112" s="47"/>
      <c r="G112" s="47"/>
      <c r="H112" s="47"/>
    </row>
    <row r="113" spans="2:8">
      <c r="B113" s="47"/>
      <c r="C113" s="47"/>
      <c r="D113" s="47"/>
      <c r="E113" s="47"/>
      <c r="F113" s="47"/>
      <c r="G113" s="47"/>
      <c r="H113" s="47"/>
    </row>
    <row r="114" spans="2:8">
      <c r="B114" s="47"/>
      <c r="C114" s="47"/>
      <c r="D114" s="47"/>
      <c r="E114" s="47"/>
      <c r="F114" s="47"/>
      <c r="G114" s="47"/>
      <c r="H114" s="47"/>
    </row>
    <row r="115" spans="2:8">
      <c r="B115" s="47"/>
      <c r="C115" s="47"/>
      <c r="D115" s="47"/>
      <c r="E115" s="47"/>
      <c r="F115" s="47"/>
      <c r="G115" s="47"/>
      <c r="H115" s="47"/>
    </row>
    <row r="116" spans="2:8">
      <c r="B116" s="47"/>
      <c r="C116" s="47"/>
      <c r="D116" s="47"/>
      <c r="E116" s="47"/>
      <c r="F116" s="47"/>
      <c r="G116" s="47"/>
      <c r="H116" s="47"/>
    </row>
    <row r="117" spans="2:8">
      <c r="B117" s="47"/>
      <c r="C117" s="47"/>
      <c r="D117" s="47"/>
      <c r="E117" s="47"/>
      <c r="F117" s="47"/>
      <c r="G117" s="47"/>
      <c r="H117" s="47"/>
    </row>
    <row r="118" spans="2:8">
      <c r="B118" s="47"/>
      <c r="C118" s="47"/>
      <c r="D118" s="47"/>
      <c r="E118" s="47"/>
      <c r="F118" s="47"/>
      <c r="G118" s="47"/>
      <c r="H118" s="47"/>
    </row>
    <row r="119" spans="2:8">
      <c r="B119" s="47"/>
      <c r="C119" s="47"/>
      <c r="D119" s="47"/>
      <c r="E119" s="47"/>
      <c r="F119" s="47"/>
      <c r="G119" s="47"/>
      <c r="H119" s="47"/>
    </row>
    <row r="120" spans="2:8">
      <c r="B120" s="47"/>
      <c r="C120" s="47"/>
      <c r="D120" s="47"/>
      <c r="E120" s="47"/>
      <c r="F120" s="47"/>
      <c r="G120" s="47"/>
      <c r="H120" s="47"/>
    </row>
    <row r="121" spans="2:8">
      <c r="B121" s="47"/>
      <c r="C121" s="47"/>
      <c r="D121" s="47"/>
      <c r="E121" s="47"/>
      <c r="F121" s="47"/>
      <c r="G121" s="47"/>
      <c r="H121" s="47"/>
    </row>
    <row r="122" spans="2:8">
      <c r="B122" s="47"/>
      <c r="C122" s="47"/>
      <c r="D122" s="47"/>
      <c r="E122" s="47"/>
      <c r="F122" s="47"/>
      <c r="G122" s="47"/>
      <c r="H122" s="47"/>
    </row>
    <row r="123" spans="2:8">
      <c r="B123" s="47"/>
      <c r="C123" s="47"/>
      <c r="D123" s="47"/>
      <c r="E123" s="47"/>
      <c r="F123" s="47"/>
      <c r="G123" s="47"/>
      <c r="H123" s="47"/>
    </row>
    <row r="124" spans="2:8">
      <c r="B124" s="47"/>
      <c r="C124" s="47"/>
      <c r="D124" s="47"/>
      <c r="E124" s="47"/>
      <c r="F124" s="47"/>
      <c r="G124" s="47"/>
      <c r="H124" s="47"/>
    </row>
    <row r="125" spans="2:8">
      <c r="B125" s="590"/>
      <c r="C125" s="590"/>
      <c r="D125" s="590"/>
      <c r="E125" s="590"/>
      <c r="F125" s="590"/>
      <c r="G125" s="590"/>
      <c r="H125" s="590"/>
    </row>
  </sheetData>
  <sortState xmlns:xlrd2="http://schemas.microsoft.com/office/spreadsheetml/2017/richdata2" ref="B4:U59">
    <sortCondition ref="B4:B59"/>
  </sortState>
  <mergeCells count="1">
    <mergeCell ref="B1:Z1"/>
  </mergeCells>
  <dataValidations count="1">
    <dataValidation allowBlank="1" showInputMessage="1" showErrorMessage="1" sqref="B29:G29 B8:B10 B30:B34 B3:H7 B14:B28 B39:B1048576" xr:uid="{00000000-0002-0000-0600-000000000000}"/>
  </dataValidations>
  <hyperlinks>
    <hyperlink ref="G23" r:id="rId1" xr:uid="{00000000-0004-0000-0600-000000000000}"/>
    <hyperlink ref="F23" r:id="rId2" xr:uid="{00000000-0004-0000-0600-000001000000}"/>
    <hyperlink ref="F29" r:id="rId3" xr:uid="{00000000-0004-0000-0600-000002000000}"/>
    <hyperlink ref="F40" r:id="rId4" xr:uid="{00000000-0004-0000-0600-000003000000}"/>
    <hyperlink ref="F6" r:id="rId5" xr:uid="{00000000-0004-0000-0600-000004000000}"/>
    <hyperlink ref="F55" r:id="rId6" xr:uid="{00000000-0004-0000-0600-000005000000}"/>
  </hyperlinks>
  <pageMargins left="0" right="0" top="0.75" bottom="0.5" header="0.3" footer="0.3"/>
  <pageSetup paperSize="9" scale="53" fitToHeight="4" orientation="landscape" horizontalDpi="4294967293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E131"/>
  <sheetViews>
    <sheetView tabSelected="1" zoomScale="85" zoomScaleNormal="85" workbookViewId="0">
      <selection activeCell="G11" sqref="G11"/>
    </sheetView>
  </sheetViews>
  <sheetFormatPr defaultColWidth="9" defaultRowHeight="21" outlineLevelCol="1"/>
  <cols>
    <col min="1" max="1" width="9" style="47" bestFit="1"/>
    <col min="2" max="2" width="24.625" style="13" customWidth="1" outlineLevel="1"/>
    <col min="3" max="3" width="19.625" style="13" customWidth="1" outlineLevel="1"/>
    <col min="4" max="4" width="11.375" style="13" customWidth="1" outlineLevel="1"/>
    <col min="5" max="5" width="33.375" style="13" customWidth="1" outlineLevel="1"/>
    <col min="6" max="6" width="47.75" style="13" customWidth="1" outlineLevel="1"/>
    <col min="7" max="7" width="23.375" style="13" customWidth="1" outlineLevel="1"/>
    <col min="8" max="8" width="19.125" style="13" customWidth="1" outlineLevel="1"/>
    <col min="9" max="9" width="9" style="47" customWidth="1"/>
    <col min="10" max="13" width="10.25" style="47" customWidth="1"/>
    <col min="14" max="14" width="9" style="47" customWidth="1"/>
    <col min="15" max="16" width="9.5" style="47" customWidth="1"/>
    <col min="17" max="17" width="9.375" style="47" customWidth="1"/>
    <col min="18" max="21" width="9" style="12" customWidth="1"/>
    <col min="22" max="23" width="9" style="47" customWidth="1"/>
    <col min="24" max="26" width="9.625" style="47" customWidth="1"/>
    <col min="27" max="27" width="9.125" style="47" bestFit="1" customWidth="1"/>
    <col min="28" max="30" width="10.5" style="47" bestFit="1" customWidth="1"/>
  </cols>
  <sheetData>
    <row r="1" spans="1:31" ht="30" customHeight="1">
      <c r="B1" s="655" t="s">
        <v>744</v>
      </c>
      <c r="C1" s="655"/>
      <c r="D1" s="655"/>
      <c r="E1" s="655"/>
      <c r="F1" s="655"/>
      <c r="G1" s="655"/>
      <c r="H1" s="655"/>
    </row>
    <row r="2" spans="1:31" s="3" customFormat="1" ht="30" customHeight="1">
      <c r="A2" s="47"/>
      <c r="B2" s="90" t="s">
        <v>357</v>
      </c>
      <c r="C2" s="90" t="s">
        <v>358</v>
      </c>
      <c r="D2" s="90" t="s">
        <v>359</v>
      </c>
      <c r="E2" s="90" t="s">
        <v>360</v>
      </c>
      <c r="F2" s="90" t="s">
        <v>361</v>
      </c>
      <c r="G2" s="90" t="s">
        <v>362</v>
      </c>
      <c r="H2" s="91" t="s">
        <v>363</v>
      </c>
      <c r="I2" s="50">
        <v>46145</v>
      </c>
      <c r="J2" s="50">
        <v>46152</v>
      </c>
      <c r="K2" s="50">
        <v>46159</v>
      </c>
      <c r="L2" s="50">
        <v>46166</v>
      </c>
      <c r="M2" s="50">
        <v>46173</v>
      </c>
      <c r="N2" s="50">
        <v>46180</v>
      </c>
      <c r="O2" s="50">
        <v>46187</v>
      </c>
      <c r="P2" s="52">
        <f t="shared" ref="P2:Z2" si="0">O2+7</f>
        <v>46194</v>
      </c>
      <c r="Q2" s="50">
        <f t="shared" si="0"/>
        <v>46201</v>
      </c>
      <c r="R2" s="52">
        <f t="shared" si="0"/>
        <v>46208</v>
      </c>
      <c r="S2" s="52">
        <f t="shared" si="0"/>
        <v>46215</v>
      </c>
      <c r="T2" s="52">
        <f t="shared" si="0"/>
        <v>46222</v>
      </c>
      <c r="U2" s="50">
        <f t="shared" si="0"/>
        <v>46229</v>
      </c>
      <c r="V2" s="11">
        <f t="shared" si="0"/>
        <v>46236</v>
      </c>
      <c r="W2" s="11">
        <f t="shared" si="0"/>
        <v>46243</v>
      </c>
      <c r="X2" s="11">
        <f t="shared" si="0"/>
        <v>46250</v>
      </c>
      <c r="Y2" s="11">
        <f t="shared" si="0"/>
        <v>46257</v>
      </c>
      <c r="Z2" s="11">
        <f t="shared" si="0"/>
        <v>46264</v>
      </c>
      <c r="AA2" s="11">
        <f>Z2+7</f>
        <v>46271</v>
      </c>
      <c r="AB2" s="11">
        <f t="shared" ref="AB2:AD2" si="1">AA2+7</f>
        <v>46278</v>
      </c>
      <c r="AC2" s="11">
        <f t="shared" si="1"/>
        <v>46285</v>
      </c>
      <c r="AD2" s="11">
        <f t="shared" si="1"/>
        <v>46292</v>
      </c>
      <c r="AE2" s="627"/>
    </row>
    <row r="3" spans="1:31" ht="30" customHeight="1">
      <c r="A3" s="47">
        <v>1</v>
      </c>
      <c r="B3" s="92" t="s">
        <v>576</v>
      </c>
      <c r="C3" s="92" t="s">
        <v>413</v>
      </c>
      <c r="D3" s="92" t="s">
        <v>373</v>
      </c>
      <c r="E3" s="92" t="s">
        <v>111</v>
      </c>
      <c r="F3" s="93" t="s">
        <v>189</v>
      </c>
      <c r="G3" s="92" t="s">
        <v>190</v>
      </c>
      <c r="H3" s="94" t="s">
        <v>191</v>
      </c>
      <c r="I3" s="56" t="s">
        <v>370</v>
      </c>
      <c r="J3" s="56" t="s">
        <v>370</v>
      </c>
      <c r="K3" s="56" t="s">
        <v>370</v>
      </c>
      <c r="L3" s="56" t="s">
        <v>370</v>
      </c>
      <c r="M3" s="56"/>
      <c r="N3" s="56" t="s">
        <v>370</v>
      </c>
      <c r="O3" s="56" t="s">
        <v>370</v>
      </c>
      <c r="P3" s="58" t="s">
        <v>370</v>
      </c>
      <c r="Q3" s="56" t="s">
        <v>370</v>
      </c>
      <c r="R3" s="58" t="s">
        <v>370</v>
      </c>
      <c r="S3" s="58" t="s">
        <v>370</v>
      </c>
      <c r="T3" s="58" t="s">
        <v>370</v>
      </c>
      <c r="U3" s="56" t="s">
        <v>370</v>
      </c>
      <c r="V3" s="13" t="s">
        <v>370</v>
      </c>
      <c r="W3" s="13" t="s">
        <v>370</v>
      </c>
      <c r="X3" s="13"/>
      <c r="Y3" s="13"/>
      <c r="Z3" s="13"/>
      <c r="AA3" s="13"/>
      <c r="AB3" s="13"/>
      <c r="AC3" s="13"/>
      <c r="AD3" s="13"/>
    </row>
    <row r="4" spans="1:31" ht="30" customHeight="1">
      <c r="A4" s="47">
        <f t="shared" ref="A4:A36" si="2">A3+1</f>
        <v>2</v>
      </c>
      <c r="B4" s="95" t="s">
        <v>592</v>
      </c>
      <c r="C4" s="95" t="s">
        <v>459</v>
      </c>
      <c r="D4" s="95" t="s">
        <v>367</v>
      </c>
      <c r="E4" s="95" t="s">
        <v>94</v>
      </c>
      <c r="F4" s="96" t="s">
        <v>95</v>
      </c>
      <c r="G4" s="97" t="s">
        <v>96</v>
      </c>
      <c r="H4" s="94" t="s">
        <v>191</v>
      </c>
      <c r="I4" s="56" t="s">
        <v>370</v>
      </c>
      <c r="J4" s="56" t="s">
        <v>370</v>
      </c>
      <c r="K4" s="56" t="s">
        <v>370</v>
      </c>
      <c r="L4" s="56" t="s">
        <v>370</v>
      </c>
      <c r="M4" s="56" t="s">
        <v>370</v>
      </c>
      <c r="N4" s="56"/>
      <c r="O4" s="56" t="s">
        <v>370</v>
      </c>
      <c r="P4" s="58" t="s">
        <v>370</v>
      </c>
      <c r="Q4" s="56" t="s">
        <v>370</v>
      </c>
      <c r="R4" s="58"/>
      <c r="S4" s="58" t="s">
        <v>370</v>
      </c>
      <c r="T4" s="58" t="s">
        <v>370</v>
      </c>
      <c r="U4" s="56" t="s">
        <v>370</v>
      </c>
      <c r="V4" s="13" t="s">
        <v>370</v>
      </c>
      <c r="W4" s="13" t="s">
        <v>370</v>
      </c>
      <c r="X4" s="13" t="s">
        <v>370</v>
      </c>
      <c r="Y4" s="13" t="s">
        <v>370</v>
      </c>
      <c r="Z4" s="13" t="s">
        <v>370</v>
      </c>
      <c r="AA4" s="13" t="s">
        <v>370</v>
      </c>
      <c r="AB4" s="13"/>
      <c r="AC4" s="13"/>
      <c r="AD4" s="13"/>
    </row>
    <row r="5" spans="1:31" ht="30" customHeight="1">
      <c r="A5" s="47">
        <f t="shared" si="2"/>
        <v>3</v>
      </c>
      <c r="B5" s="95" t="s">
        <v>787</v>
      </c>
      <c r="C5" s="95"/>
      <c r="D5" s="95"/>
      <c r="E5" s="95"/>
      <c r="F5" s="96"/>
      <c r="G5" s="97"/>
      <c r="H5" s="95"/>
      <c r="I5" s="239"/>
      <c r="J5" s="56"/>
      <c r="K5" s="56"/>
      <c r="L5" s="56"/>
      <c r="M5" s="56"/>
      <c r="N5" s="56"/>
      <c r="O5" s="56"/>
      <c r="P5" s="58"/>
      <c r="Q5" s="56"/>
      <c r="R5" s="58"/>
      <c r="S5" s="58"/>
      <c r="T5" s="58"/>
      <c r="U5" s="56"/>
      <c r="V5" s="13"/>
      <c r="W5" s="13"/>
      <c r="X5" s="13"/>
      <c r="Y5" s="13"/>
      <c r="Z5" s="13"/>
      <c r="AA5" s="13" t="s">
        <v>370</v>
      </c>
      <c r="AB5" s="13"/>
      <c r="AC5" s="13"/>
      <c r="AD5" s="13"/>
    </row>
    <row r="6" spans="1:31" ht="30" customHeight="1">
      <c r="A6" s="47">
        <f t="shared" si="2"/>
        <v>4</v>
      </c>
      <c r="B6" s="95" t="s">
        <v>747</v>
      </c>
      <c r="C6" s="95" t="s">
        <v>649</v>
      </c>
      <c r="D6" s="95" t="s">
        <v>367</v>
      </c>
      <c r="E6" s="95" t="s">
        <v>262</v>
      </c>
      <c r="F6" s="632" t="s">
        <v>748</v>
      </c>
      <c r="G6" s="97" t="s">
        <v>749</v>
      </c>
      <c r="H6" s="95" t="s">
        <v>191</v>
      </c>
      <c r="I6" s="239"/>
      <c r="J6" s="56"/>
      <c r="K6" s="56"/>
      <c r="L6" s="56"/>
      <c r="M6" s="56"/>
      <c r="N6" s="56"/>
      <c r="O6" s="56"/>
      <c r="P6" s="58"/>
      <c r="Q6" s="56"/>
      <c r="R6" s="58"/>
      <c r="S6" s="58"/>
      <c r="T6" s="58"/>
      <c r="U6" s="56"/>
      <c r="V6" s="13" t="s">
        <v>370</v>
      </c>
      <c r="W6" s="13"/>
      <c r="X6" s="13" t="s">
        <v>370</v>
      </c>
      <c r="Y6" s="13" t="s">
        <v>370</v>
      </c>
      <c r="Z6" s="13" t="s">
        <v>370</v>
      </c>
      <c r="AA6" s="13" t="s">
        <v>370</v>
      </c>
      <c r="AB6" s="13"/>
      <c r="AC6" s="13"/>
      <c r="AD6" s="13"/>
    </row>
    <row r="7" spans="1:31" ht="30" customHeight="1">
      <c r="A7" s="47">
        <f t="shared" si="2"/>
        <v>5</v>
      </c>
      <c r="B7" s="95" t="s">
        <v>616</v>
      </c>
      <c r="C7" s="95" t="s">
        <v>420</v>
      </c>
      <c r="D7" s="95" t="s">
        <v>378</v>
      </c>
      <c r="E7" s="95" t="s">
        <v>77</v>
      </c>
      <c r="F7" s="96" t="s">
        <v>78</v>
      </c>
      <c r="G7" s="97" t="s">
        <v>79</v>
      </c>
      <c r="H7" s="95" t="s">
        <v>191</v>
      </c>
      <c r="I7" s="239" t="s">
        <v>370</v>
      </c>
      <c r="J7" s="56"/>
      <c r="K7" s="56"/>
      <c r="L7" s="56" t="s">
        <v>370</v>
      </c>
      <c r="M7" s="56"/>
      <c r="N7" s="56" t="s">
        <v>370</v>
      </c>
      <c r="O7" s="56"/>
      <c r="P7" s="58"/>
      <c r="Q7" s="56" t="s">
        <v>370</v>
      </c>
      <c r="R7" s="58"/>
      <c r="S7" s="58" t="s">
        <v>370</v>
      </c>
      <c r="T7" s="58"/>
      <c r="U7" s="56" t="s">
        <v>370</v>
      </c>
      <c r="V7" s="13" t="s">
        <v>370</v>
      </c>
      <c r="W7" s="13"/>
      <c r="X7" s="13"/>
      <c r="Y7" s="13"/>
      <c r="Z7" s="13"/>
      <c r="AA7" s="13"/>
      <c r="AB7" s="13"/>
      <c r="AC7" s="13"/>
      <c r="AD7" s="13"/>
    </row>
    <row r="8" spans="1:31" ht="30" customHeight="1">
      <c r="A8" s="47">
        <f t="shared" si="2"/>
        <v>6</v>
      </c>
      <c r="B8" s="95" t="s">
        <v>485</v>
      </c>
      <c r="C8" s="95"/>
      <c r="D8" s="95"/>
      <c r="E8" s="95"/>
      <c r="F8" s="96"/>
      <c r="G8" s="97"/>
      <c r="H8" s="95" t="s">
        <v>191</v>
      </c>
      <c r="I8" s="239"/>
      <c r="J8" s="56"/>
      <c r="K8" s="56"/>
      <c r="L8" s="56"/>
      <c r="M8" s="56"/>
      <c r="N8" s="56"/>
      <c r="O8" s="56"/>
      <c r="P8" s="58"/>
      <c r="Q8" s="56"/>
      <c r="R8" s="58"/>
      <c r="S8" s="58"/>
      <c r="T8" s="58"/>
      <c r="U8" s="56"/>
      <c r="V8" s="13"/>
      <c r="W8" s="13"/>
      <c r="X8" s="13" t="s">
        <v>370</v>
      </c>
      <c r="Y8" s="13"/>
      <c r="Z8" s="13"/>
      <c r="AA8" s="13" t="s">
        <v>370</v>
      </c>
      <c r="AB8" s="13"/>
      <c r="AC8" s="13"/>
      <c r="AD8" s="13"/>
    </row>
    <row r="9" spans="1:31" ht="30" customHeight="1">
      <c r="A9" s="47">
        <f t="shared" si="2"/>
        <v>7</v>
      </c>
      <c r="B9" s="95" t="s">
        <v>593</v>
      </c>
      <c r="C9" s="95" t="s">
        <v>491</v>
      </c>
      <c r="D9" s="95" t="s">
        <v>367</v>
      </c>
      <c r="E9" s="95" t="s">
        <v>145</v>
      </c>
      <c r="F9" s="96" t="s">
        <v>146</v>
      </c>
      <c r="G9" s="97" t="s">
        <v>147</v>
      </c>
      <c r="H9" s="95" t="s">
        <v>191</v>
      </c>
      <c r="I9" s="239" t="s">
        <v>370</v>
      </c>
      <c r="J9" s="56" t="s">
        <v>370</v>
      </c>
      <c r="K9" s="56" t="s">
        <v>370</v>
      </c>
      <c r="L9" s="56" t="s">
        <v>370</v>
      </c>
      <c r="M9" s="56" t="s">
        <v>370</v>
      </c>
      <c r="N9" s="56"/>
      <c r="O9" s="56"/>
      <c r="P9" s="58"/>
      <c r="Q9" s="56"/>
      <c r="R9" s="58"/>
      <c r="S9" s="58"/>
      <c r="T9" s="58"/>
      <c r="U9" s="56"/>
      <c r="V9" s="13"/>
      <c r="W9" s="13"/>
      <c r="X9" s="13"/>
      <c r="Y9" s="13"/>
      <c r="Z9" s="13"/>
      <c r="AA9" s="13" t="s">
        <v>370</v>
      </c>
      <c r="AB9" s="13"/>
      <c r="AC9" s="13"/>
      <c r="AD9" s="13"/>
    </row>
    <row r="10" spans="1:31" ht="30" customHeight="1">
      <c r="A10" s="47">
        <f t="shared" si="2"/>
        <v>8</v>
      </c>
      <c r="B10" s="95" t="s">
        <v>474</v>
      </c>
      <c r="C10" s="95" t="s">
        <v>475</v>
      </c>
      <c r="D10" s="95" t="s">
        <v>404</v>
      </c>
      <c r="E10" s="95" t="s">
        <v>247</v>
      </c>
      <c r="F10" s="96" t="s">
        <v>121</v>
      </c>
      <c r="G10" s="97" t="s">
        <v>122</v>
      </c>
      <c r="H10" s="95" t="s">
        <v>191</v>
      </c>
      <c r="I10" s="239" t="s">
        <v>370</v>
      </c>
      <c r="J10" s="56"/>
      <c r="K10" s="56"/>
      <c r="L10" s="56"/>
      <c r="M10" s="56"/>
      <c r="N10" s="56"/>
      <c r="O10" s="56"/>
      <c r="P10" s="58"/>
      <c r="Q10" s="56"/>
      <c r="R10" s="58"/>
      <c r="S10" s="58"/>
      <c r="T10" s="58"/>
      <c r="U10" s="56"/>
      <c r="V10" s="13"/>
      <c r="W10" s="13"/>
      <c r="X10" s="13"/>
      <c r="Y10" s="13"/>
      <c r="Z10" s="13"/>
      <c r="AA10" s="13"/>
      <c r="AB10" s="13"/>
      <c r="AC10" s="13"/>
      <c r="AD10" s="13"/>
    </row>
    <row r="11" spans="1:31" ht="30" customHeight="1">
      <c r="A11" s="47">
        <f t="shared" si="2"/>
        <v>9</v>
      </c>
      <c r="B11" s="95" t="s">
        <v>450</v>
      </c>
      <c r="C11" s="95" t="s">
        <v>635</v>
      </c>
      <c r="D11" s="95"/>
      <c r="E11" s="95"/>
      <c r="F11" s="95"/>
      <c r="G11" s="95"/>
      <c r="H11" s="95" t="s">
        <v>191</v>
      </c>
      <c r="I11" s="239"/>
      <c r="J11" s="56"/>
      <c r="K11" s="56"/>
      <c r="L11" s="56"/>
      <c r="M11" s="56"/>
      <c r="N11" s="56"/>
      <c r="O11" s="56" t="s">
        <v>370</v>
      </c>
      <c r="P11" s="58"/>
      <c r="Q11" s="56"/>
      <c r="R11" s="58"/>
      <c r="S11" s="58"/>
      <c r="T11" s="58"/>
      <c r="U11" s="56"/>
      <c r="V11" s="13"/>
      <c r="W11" s="13"/>
      <c r="X11" s="13"/>
      <c r="Y11" s="13"/>
      <c r="Z11" s="13"/>
      <c r="AA11" s="13"/>
      <c r="AB11" s="13"/>
      <c r="AC11" s="13"/>
      <c r="AD11" s="13"/>
    </row>
    <row r="12" spans="1:31" ht="30" customHeight="1">
      <c r="A12" s="47">
        <f t="shared" si="2"/>
        <v>10</v>
      </c>
      <c r="B12" s="95" t="s">
        <v>639</v>
      </c>
      <c r="C12" s="95"/>
      <c r="D12" s="95"/>
      <c r="E12" s="95"/>
      <c r="F12" s="95"/>
      <c r="G12" s="95"/>
      <c r="H12" s="95" t="s">
        <v>191</v>
      </c>
      <c r="I12" s="239"/>
      <c r="J12" s="56"/>
      <c r="K12" s="56"/>
      <c r="L12" s="56"/>
      <c r="M12" s="56"/>
      <c r="N12" s="56"/>
      <c r="O12" s="56"/>
      <c r="P12" s="58"/>
      <c r="Q12" s="56"/>
      <c r="R12" s="58"/>
      <c r="S12" s="58"/>
      <c r="T12" s="58" t="s">
        <v>370</v>
      </c>
      <c r="U12" s="56" t="s">
        <v>370</v>
      </c>
      <c r="V12" s="13"/>
      <c r="W12" s="13"/>
      <c r="X12" s="13"/>
      <c r="Y12" s="13"/>
      <c r="Z12" s="13"/>
      <c r="AA12" s="13"/>
      <c r="AB12" s="13"/>
      <c r="AC12" s="13"/>
      <c r="AD12" s="13"/>
    </row>
    <row r="13" spans="1:31" ht="30" customHeight="1">
      <c r="A13" s="47">
        <f t="shared" si="2"/>
        <v>11</v>
      </c>
      <c r="B13" s="95" t="s">
        <v>596</v>
      </c>
      <c r="C13" s="95" t="s">
        <v>597</v>
      </c>
      <c r="D13" s="95" t="s">
        <v>404</v>
      </c>
      <c r="E13" s="95" t="s">
        <v>213</v>
      </c>
      <c r="F13" s="614" t="s">
        <v>214</v>
      </c>
      <c r="G13" s="97" t="s">
        <v>215</v>
      </c>
      <c r="H13" s="95" t="s">
        <v>191</v>
      </c>
      <c r="I13" s="239"/>
      <c r="J13" s="56"/>
      <c r="K13" s="56"/>
      <c r="L13" s="56"/>
      <c r="M13" s="56"/>
      <c r="N13" s="56"/>
      <c r="O13" s="56"/>
      <c r="P13" s="58"/>
      <c r="Q13" s="56" t="s">
        <v>370</v>
      </c>
      <c r="R13" s="58"/>
      <c r="S13" s="58"/>
      <c r="T13" s="58"/>
      <c r="U13" s="56" t="s">
        <v>370</v>
      </c>
      <c r="V13" s="13"/>
      <c r="W13" s="13"/>
      <c r="X13" s="13"/>
      <c r="Y13" s="13"/>
      <c r="Z13" s="13"/>
      <c r="AA13" s="13"/>
      <c r="AB13" s="13"/>
      <c r="AC13" s="13"/>
      <c r="AD13" s="13"/>
    </row>
    <row r="14" spans="1:31" ht="30" customHeight="1">
      <c r="A14" s="47">
        <f t="shared" si="2"/>
        <v>12</v>
      </c>
      <c r="B14" s="95" t="s">
        <v>467</v>
      </c>
      <c r="C14" s="95" t="s">
        <v>468</v>
      </c>
      <c r="D14" s="95" t="s">
        <v>373</v>
      </c>
      <c r="E14" s="95" t="s">
        <v>105</v>
      </c>
      <c r="F14" s="613" t="s">
        <v>106</v>
      </c>
      <c r="G14" s="97"/>
      <c r="H14" s="95" t="s">
        <v>191</v>
      </c>
      <c r="I14" s="239"/>
      <c r="J14" s="56"/>
      <c r="K14" s="56"/>
      <c r="L14" s="56"/>
      <c r="M14" s="56"/>
      <c r="N14" s="56"/>
      <c r="O14" s="56"/>
      <c r="P14" s="58"/>
      <c r="Q14" s="56"/>
      <c r="R14" s="58"/>
      <c r="S14" s="58"/>
      <c r="T14" s="58"/>
      <c r="U14" s="56"/>
      <c r="V14" s="13"/>
      <c r="W14" s="13" t="s">
        <v>370</v>
      </c>
      <c r="X14" s="13" t="s">
        <v>370</v>
      </c>
      <c r="Y14" s="13" t="s">
        <v>370</v>
      </c>
      <c r="Z14" s="13" t="s">
        <v>370</v>
      </c>
      <c r="AA14" s="13" t="s">
        <v>370</v>
      </c>
      <c r="AB14" s="13"/>
      <c r="AC14" s="13"/>
      <c r="AD14" s="13"/>
    </row>
    <row r="15" spans="1:31" ht="30" customHeight="1">
      <c r="A15" s="47">
        <f t="shared" si="2"/>
        <v>13</v>
      </c>
      <c r="B15" s="95" t="s">
        <v>623</v>
      </c>
      <c r="C15" s="95" t="s">
        <v>624</v>
      </c>
      <c r="D15" s="95" t="s">
        <v>404</v>
      </c>
      <c r="E15" s="95" t="s">
        <v>625</v>
      </c>
      <c r="F15" s="96" t="s">
        <v>626</v>
      </c>
      <c r="G15" s="95" t="s">
        <v>627</v>
      </c>
      <c r="H15" s="95" t="s">
        <v>191</v>
      </c>
      <c r="I15" s="239" t="s">
        <v>370</v>
      </c>
      <c r="J15" s="56"/>
      <c r="K15" s="56" t="s">
        <v>370</v>
      </c>
      <c r="L15" s="56"/>
      <c r="M15" s="56"/>
      <c r="N15" s="56"/>
      <c r="O15" s="56"/>
      <c r="P15" s="58"/>
      <c r="Q15" s="56"/>
      <c r="R15" s="58"/>
      <c r="S15" s="58"/>
      <c r="T15" s="58"/>
      <c r="U15" s="56"/>
      <c r="V15" s="13"/>
      <c r="W15" s="13"/>
      <c r="X15" s="13"/>
      <c r="Y15" s="13"/>
      <c r="Z15" s="13"/>
      <c r="AA15" s="13"/>
      <c r="AB15" s="13"/>
      <c r="AC15" s="13"/>
      <c r="AD15" s="13"/>
    </row>
    <row r="16" spans="1:31" ht="30" customHeight="1">
      <c r="A16" s="47">
        <f t="shared" si="2"/>
        <v>14</v>
      </c>
      <c r="B16" s="95" t="s">
        <v>454</v>
      </c>
      <c r="C16" s="95" t="s">
        <v>375</v>
      </c>
      <c r="D16" s="95" t="s">
        <v>367</v>
      </c>
      <c r="E16" s="95" t="s">
        <v>769</v>
      </c>
      <c r="F16" s="613" t="s">
        <v>768</v>
      </c>
      <c r="G16" s="613" t="s">
        <v>770</v>
      </c>
      <c r="H16" s="95" t="s">
        <v>191</v>
      </c>
      <c r="I16" s="239"/>
      <c r="J16" s="56"/>
      <c r="K16" s="56"/>
      <c r="L16" s="56"/>
      <c r="M16" s="56"/>
      <c r="N16" s="56"/>
      <c r="O16" s="56"/>
      <c r="P16" s="58"/>
      <c r="Q16" s="56"/>
      <c r="R16" s="58"/>
      <c r="S16" s="58"/>
      <c r="T16" s="58"/>
      <c r="U16" s="56"/>
      <c r="V16" s="13"/>
      <c r="W16" s="13" t="s">
        <v>370</v>
      </c>
      <c r="X16" s="13" t="s">
        <v>370</v>
      </c>
      <c r="Y16" s="13" t="s">
        <v>370</v>
      </c>
      <c r="Z16" s="13" t="s">
        <v>370</v>
      </c>
      <c r="AA16" s="13" t="s">
        <v>370</v>
      </c>
      <c r="AB16" s="13"/>
      <c r="AC16" s="13"/>
      <c r="AD16" s="13"/>
    </row>
    <row r="17" spans="1:30" ht="30" customHeight="1">
      <c r="A17" s="47">
        <f t="shared" si="2"/>
        <v>15</v>
      </c>
      <c r="B17" s="92" t="s">
        <v>577</v>
      </c>
      <c r="C17" s="92" t="s">
        <v>578</v>
      </c>
      <c r="D17" s="92" t="s">
        <v>373</v>
      </c>
      <c r="E17" s="92" t="s">
        <v>192</v>
      </c>
      <c r="F17" s="99" t="s">
        <v>193</v>
      </c>
      <c r="G17" s="100" t="s">
        <v>194</v>
      </c>
      <c r="H17" s="95" t="s">
        <v>191</v>
      </c>
      <c r="I17" s="239"/>
      <c r="J17" s="56" t="s">
        <v>370</v>
      </c>
      <c r="K17" s="56"/>
      <c r="L17" s="56"/>
      <c r="M17" s="56"/>
      <c r="N17" s="56"/>
      <c r="O17" s="56" t="s">
        <v>370</v>
      </c>
      <c r="P17" s="58"/>
      <c r="Q17" s="56"/>
      <c r="R17" s="58"/>
      <c r="S17" s="58" t="s">
        <v>370</v>
      </c>
      <c r="T17" s="58"/>
      <c r="U17" s="56"/>
      <c r="V17" s="13"/>
      <c r="W17" s="13"/>
      <c r="X17" s="13"/>
      <c r="Y17" s="13"/>
      <c r="Z17" s="13"/>
      <c r="AA17" s="13" t="s">
        <v>370</v>
      </c>
      <c r="AB17" s="13"/>
      <c r="AC17" s="13"/>
      <c r="AD17" s="13"/>
    </row>
    <row r="18" spans="1:30" ht="30" customHeight="1">
      <c r="A18" s="47">
        <f t="shared" si="2"/>
        <v>16</v>
      </c>
      <c r="B18" s="92" t="s">
        <v>526</v>
      </c>
      <c r="C18" s="92"/>
      <c r="D18" s="92"/>
      <c r="E18" s="92"/>
      <c r="F18" s="99"/>
      <c r="G18" s="100"/>
      <c r="H18" s="95"/>
      <c r="I18" s="239"/>
      <c r="J18" s="56"/>
      <c r="K18" s="56"/>
      <c r="L18" s="56"/>
      <c r="M18" s="56"/>
      <c r="N18" s="56"/>
      <c r="O18" s="56"/>
      <c r="P18" s="58"/>
      <c r="Q18" s="56"/>
      <c r="R18" s="58"/>
      <c r="S18" s="58"/>
      <c r="T18" s="58"/>
      <c r="U18" s="56"/>
      <c r="V18" s="13"/>
      <c r="W18" s="13"/>
      <c r="X18" s="13"/>
      <c r="Y18" s="13"/>
      <c r="Z18" s="13"/>
      <c r="AA18" s="13" t="s">
        <v>370</v>
      </c>
      <c r="AB18" s="13"/>
      <c r="AC18" s="13"/>
      <c r="AD18" s="13"/>
    </row>
    <row r="19" spans="1:30" ht="30" customHeight="1">
      <c r="A19" s="47">
        <f t="shared" si="2"/>
        <v>17</v>
      </c>
      <c r="B19" s="92" t="s">
        <v>470</v>
      </c>
      <c r="C19" s="92" t="s">
        <v>471</v>
      </c>
      <c r="D19" s="92" t="s">
        <v>367</v>
      </c>
      <c r="E19" s="92" t="s">
        <v>114</v>
      </c>
      <c r="F19" s="633" t="s">
        <v>198</v>
      </c>
      <c r="G19" s="100" t="s">
        <v>116</v>
      </c>
      <c r="H19" s="95" t="s">
        <v>191</v>
      </c>
      <c r="I19" s="239"/>
      <c r="J19" s="56" t="s">
        <v>370</v>
      </c>
      <c r="K19" s="56" t="s">
        <v>370</v>
      </c>
      <c r="L19" s="56" t="s">
        <v>370</v>
      </c>
      <c r="M19" s="56" t="s">
        <v>370</v>
      </c>
      <c r="N19" s="56" t="s">
        <v>370</v>
      </c>
      <c r="O19" s="56" t="s">
        <v>370</v>
      </c>
      <c r="P19" s="58"/>
      <c r="Q19" s="56" t="s">
        <v>370</v>
      </c>
      <c r="R19" s="58" t="s">
        <v>370</v>
      </c>
      <c r="S19" s="58"/>
      <c r="T19" s="58" t="s">
        <v>370</v>
      </c>
      <c r="U19" s="56"/>
      <c r="V19" s="13"/>
      <c r="W19" s="13" t="s">
        <v>370</v>
      </c>
      <c r="X19" s="13" t="s">
        <v>370</v>
      </c>
      <c r="Y19" s="13" t="s">
        <v>370</v>
      </c>
      <c r="Z19" s="13"/>
      <c r="AA19" s="13" t="s">
        <v>370</v>
      </c>
      <c r="AB19" s="13"/>
      <c r="AC19" s="13"/>
      <c r="AD19" s="13"/>
    </row>
    <row r="20" spans="1:30" ht="30" customHeight="1">
      <c r="A20" s="47">
        <f t="shared" si="2"/>
        <v>18</v>
      </c>
      <c r="B20" s="92" t="s">
        <v>755</v>
      </c>
      <c r="C20" s="92" t="s">
        <v>758</v>
      </c>
      <c r="D20" s="92" t="s">
        <v>367</v>
      </c>
      <c r="E20" s="624" t="s">
        <v>780</v>
      </c>
      <c r="F20" s="625" t="s">
        <v>778</v>
      </c>
      <c r="G20" s="626" t="s">
        <v>779</v>
      </c>
      <c r="H20" s="95" t="s">
        <v>191</v>
      </c>
      <c r="I20" s="239"/>
      <c r="J20" s="56"/>
      <c r="K20" s="56"/>
      <c r="L20" s="56"/>
      <c r="M20" s="56"/>
      <c r="N20" s="56"/>
      <c r="O20" s="56"/>
      <c r="P20" s="58"/>
      <c r="Q20" s="56"/>
      <c r="R20" s="58"/>
      <c r="S20" s="58"/>
      <c r="T20" s="58"/>
      <c r="U20" s="56"/>
      <c r="V20" s="13"/>
      <c r="W20" s="13" t="s">
        <v>370</v>
      </c>
      <c r="X20" s="13" t="s">
        <v>370</v>
      </c>
      <c r="Y20" s="13" t="s">
        <v>370</v>
      </c>
      <c r="Z20" s="13" t="s">
        <v>370</v>
      </c>
      <c r="AA20" s="13" t="s">
        <v>370</v>
      </c>
      <c r="AB20" s="13"/>
      <c r="AC20" s="13"/>
      <c r="AD20" s="13"/>
    </row>
    <row r="21" spans="1:30" ht="30" customHeight="1">
      <c r="A21" s="47">
        <f t="shared" si="2"/>
        <v>19</v>
      </c>
      <c r="B21" s="95" t="s">
        <v>617</v>
      </c>
      <c r="C21" s="95" t="s">
        <v>618</v>
      </c>
      <c r="D21" s="95" t="s">
        <v>404</v>
      </c>
      <c r="E21" s="95" t="s">
        <v>248</v>
      </c>
      <c r="F21" s="101" t="s">
        <v>249</v>
      </c>
      <c r="G21" s="95" t="s">
        <v>250</v>
      </c>
      <c r="H21" s="95" t="s">
        <v>191</v>
      </c>
      <c r="I21" s="239"/>
      <c r="J21" s="56"/>
      <c r="K21" s="56" t="s">
        <v>370</v>
      </c>
      <c r="L21" s="56" t="s">
        <v>370</v>
      </c>
      <c r="M21" s="56" t="s">
        <v>370</v>
      </c>
      <c r="N21" s="56"/>
      <c r="O21" s="56"/>
      <c r="P21" s="58"/>
      <c r="Q21" s="56"/>
      <c r="R21" s="58"/>
      <c r="S21" s="58"/>
      <c r="T21" s="58"/>
      <c r="U21" s="56"/>
      <c r="V21" s="13" t="s">
        <v>370</v>
      </c>
      <c r="W21" s="13"/>
      <c r="X21" s="13" t="s">
        <v>370</v>
      </c>
      <c r="Y21" s="13"/>
      <c r="Z21" s="13"/>
      <c r="AA21" s="13" t="s">
        <v>370</v>
      </c>
      <c r="AB21" s="13"/>
      <c r="AC21" s="13"/>
      <c r="AD21" s="13"/>
    </row>
    <row r="22" spans="1:30" ht="30" customHeight="1">
      <c r="A22" s="47">
        <f t="shared" si="2"/>
        <v>20</v>
      </c>
      <c r="B22" s="95" t="s">
        <v>637</v>
      </c>
      <c r="C22" s="95"/>
      <c r="D22" s="95"/>
      <c r="E22" s="95"/>
      <c r="F22" s="95"/>
      <c r="G22" s="95"/>
      <c r="H22" s="95" t="s">
        <v>191</v>
      </c>
      <c r="I22" s="239"/>
      <c r="J22" s="56"/>
      <c r="K22" s="56"/>
      <c r="L22" s="56"/>
      <c r="M22" s="56"/>
      <c r="N22" s="56"/>
      <c r="O22" s="56"/>
      <c r="P22" s="58"/>
      <c r="Q22" s="56"/>
      <c r="R22" s="58" t="s">
        <v>370</v>
      </c>
      <c r="S22" s="58"/>
      <c r="T22" s="58"/>
      <c r="U22" s="56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30" customHeight="1">
      <c r="A23" s="47">
        <f t="shared" si="2"/>
        <v>21</v>
      </c>
      <c r="B23" s="95" t="s">
        <v>638</v>
      </c>
      <c r="C23" s="95"/>
      <c r="D23" s="95"/>
      <c r="E23" s="95"/>
      <c r="F23" s="95"/>
      <c r="G23" s="95"/>
      <c r="H23" s="95" t="s">
        <v>191</v>
      </c>
      <c r="I23" s="239"/>
      <c r="J23" s="56"/>
      <c r="K23" s="56"/>
      <c r="L23" s="56"/>
      <c r="M23" s="56"/>
      <c r="N23" s="56"/>
      <c r="O23" s="56"/>
      <c r="P23" s="58"/>
      <c r="Q23" s="56"/>
      <c r="R23" s="58"/>
      <c r="S23" s="58"/>
      <c r="T23" s="58" t="s">
        <v>370</v>
      </c>
      <c r="U23" s="56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ht="30" customHeight="1">
      <c r="A24" s="47">
        <f t="shared" si="2"/>
        <v>22</v>
      </c>
      <c r="B24" s="95" t="s">
        <v>604</v>
      </c>
      <c r="C24" s="95" t="s">
        <v>500</v>
      </c>
      <c r="D24" s="95" t="s">
        <v>404</v>
      </c>
      <c r="E24" s="95" t="s">
        <v>158</v>
      </c>
      <c r="F24" s="101" t="s">
        <v>225</v>
      </c>
      <c r="G24" s="97" t="s">
        <v>160</v>
      </c>
      <c r="H24" s="95" t="s">
        <v>191</v>
      </c>
      <c r="I24" s="239"/>
      <c r="J24" s="56" t="s">
        <v>370</v>
      </c>
      <c r="K24" s="56"/>
      <c r="L24" s="56"/>
      <c r="M24" s="56"/>
      <c r="N24" s="56"/>
      <c r="O24" s="56"/>
      <c r="P24" s="58"/>
      <c r="Q24" s="56"/>
      <c r="R24" s="58"/>
      <c r="S24" s="58"/>
      <c r="T24" s="58"/>
      <c r="U24" s="56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ht="30" customHeight="1">
      <c r="A25" s="47">
        <f t="shared" si="2"/>
        <v>23</v>
      </c>
      <c r="B25" s="92" t="s">
        <v>579</v>
      </c>
      <c r="C25" s="92" t="s">
        <v>377</v>
      </c>
      <c r="D25" s="92" t="s">
        <v>373</v>
      </c>
      <c r="E25" s="95"/>
      <c r="F25" s="92" t="s">
        <v>195</v>
      </c>
      <c r="G25" s="95"/>
      <c r="H25" s="95" t="s">
        <v>191</v>
      </c>
      <c r="I25" s="239" t="s">
        <v>370</v>
      </c>
      <c r="J25" s="56"/>
      <c r="K25" s="56" t="s">
        <v>370</v>
      </c>
      <c r="L25" s="56"/>
      <c r="M25" s="56"/>
      <c r="N25" s="56"/>
      <c r="O25" s="56"/>
      <c r="P25" s="58" t="s">
        <v>370</v>
      </c>
      <c r="Q25" s="56"/>
      <c r="R25" s="58"/>
      <c r="S25" s="58"/>
      <c r="T25" s="58"/>
      <c r="U25" s="56" t="s">
        <v>370</v>
      </c>
      <c r="V25" s="13" t="s">
        <v>370</v>
      </c>
      <c r="W25" s="13"/>
      <c r="X25" s="13" t="s">
        <v>370</v>
      </c>
      <c r="Y25" s="13"/>
      <c r="Z25" s="13"/>
      <c r="AA25" s="13"/>
      <c r="AB25" s="13"/>
      <c r="AC25" s="13"/>
      <c r="AD25" s="13"/>
    </row>
    <row r="26" spans="1:30" ht="30" customHeight="1">
      <c r="A26" s="47">
        <f t="shared" si="2"/>
        <v>24</v>
      </c>
      <c r="B26" s="95" t="s">
        <v>456</v>
      </c>
      <c r="C26" s="95"/>
      <c r="D26" s="95"/>
      <c r="E26" s="95"/>
      <c r="F26" s="96"/>
      <c r="G26" s="97"/>
      <c r="H26" s="95" t="s">
        <v>191</v>
      </c>
      <c r="I26" s="239"/>
      <c r="J26" s="56"/>
      <c r="K26" s="56"/>
      <c r="L26" s="56"/>
      <c r="M26" s="56"/>
      <c r="N26" s="56"/>
      <c r="O26" s="56"/>
      <c r="P26" s="58"/>
      <c r="Q26" s="56"/>
      <c r="R26" s="58"/>
      <c r="S26" s="58"/>
      <c r="T26" s="58"/>
      <c r="U26" s="56"/>
      <c r="V26" s="13"/>
      <c r="W26" s="13" t="s">
        <v>370</v>
      </c>
      <c r="X26" s="13" t="s">
        <v>370</v>
      </c>
      <c r="Y26" s="13" t="s">
        <v>370</v>
      </c>
      <c r="Z26" s="13"/>
      <c r="AA26" s="13" t="s">
        <v>370</v>
      </c>
      <c r="AB26" s="13"/>
      <c r="AC26" s="13"/>
      <c r="AD26" s="13"/>
    </row>
    <row r="27" spans="1:30" ht="30" customHeight="1">
      <c r="A27" s="47">
        <f t="shared" si="2"/>
        <v>25</v>
      </c>
      <c r="B27" s="95" t="s">
        <v>395</v>
      </c>
      <c r="C27" s="95" t="s">
        <v>634</v>
      </c>
      <c r="D27" s="95" t="s">
        <v>404</v>
      </c>
      <c r="E27" s="95" t="s">
        <v>61</v>
      </c>
      <c r="F27" s="630" t="s">
        <v>62</v>
      </c>
      <c r="G27" s="97" t="s">
        <v>138</v>
      </c>
      <c r="H27" s="95" t="s">
        <v>191</v>
      </c>
      <c r="I27" s="239"/>
      <c r="J27" s="56"/>
      <c r="K27" s="56" t="s">
        <v>370</v>
      </c>
      <c r="L27" s="56"/>
      <c r="M27" s="56" t="s">
        <v>370</v>
      </c>
      <c r="N27" s="56"/>
      <c r="O27" s="56"/>
      <c r="P27" s="58"/>
      <c r="Q27" s="56"/>
      <c r="R27" s="58"/>
      <c r="S27" s="58"/>
      <c r="T27" s="58"/>
      <c r="U27" s="56"/>
      <c r="V27" s="13"/>
      <c r="W27" s="13"/>
      <c r="X27" s="13" t="s">
        <v>370</v>
      </c>
      <c r="Y27" s="13" t="s">
        <v>370</v>
      </c>
      <c r="Z27" s="13"/>
      <c r="AA27" s="13" t="s">
        <v>370</v>
      </c>
      <c r="AB27" s="13"/>
      <c r="AC27" s="13"/>
      <c r="AD27" s="13"/>
    </row>
    <row r="28" spans="1:30" ht="30" customHeight="1">
      <c r="A28" s="47">
        <f t="shared" si="2"/>
        <v>26</v>
      </c>
      <c r="B28" s="95" t="s">
        <v>632</v>
      </c>
      <c r="C28" s="95" t="s">
        <v>633</v>
      </c>
      <c r="D28" s="95" t="s">
        <v>367</v>
      </c>
      <c r="E28" s="95" t="s">
        <v>108</v>
      </c>
      <c r="F28" s="96" t="s">
        <v>109</v>
      </c>
      <c r="G28" s="97" t="s">
        <v>110</v>
      </c>
      <c r="H28" s="95" t="s">
        <v>191</v>
      </c>
      <c r="I28" s="239" t="s">
        <v>370</v>
      </c>
      <c r="J28" s="56"/>
      <c r="K28" s="56" t="s">
        <v>370</v>
      </c>
      <c r="L28" s="56"/>
      <c r="M28" s="56"/>
      <c r="N28" s="56"/>
      <c r="O28" s="56"/>
      <c r="P28" s="58"/>
      <c r="Q28" s="56"/>
      <c r="R28" s="58" t="s">
        <v>370</v>
      </c>
      <c r="S28" s="58"/>
      <c r="T28" s="58" t="s">
        <v>370</v>
      </c>
      <c r="U28" s="56" t="s">
        <v>370</v>
      </c>
      <c r="V28" s="13"/>
      <c r="W28" s="13"/>
      <c r="X28" s="13" t="s">
        <v>370</v>
      </c>
      <c r="Y28" s="13"/>
      <c r="Z28" s="13"/>
      <c r="AA28" s="13"/>
      <c r="AB28" s="13"/>
      <c r="AC28" s="13"/>
      <c r="AD28" s="13"/>
    </row>
    <row r="29" spans="1:30" ht="30" customHeight="1">
      <c r="A29" s="47">
        <f t="shared" si="2"/>
        <v>27</v>
      </c>
      <c r="B29" s="95" t="s">
        <v>767</v>
      </c>
      <c r="C29" s="95"/>
      <c r="D29" s="95"/>
      <c r="E29" s="95"/>
      <c r="F29" s="96"/>
      <c r="G29" s="97"/>
      <c r="H29" s="95" t="s">
        <v>191</v>
      </c>
      <c r="I29" s="239"/>
      <c r="J29" s="56"/>
      <c r="K29" s="56"/>
      <c r="L29" s="56"/>
      <c r="M29" s="56"/>
      <c r="N29" s="56"/>
      <c r="O29" s="56"/>
      <c r="P29" s="58"/>
      <c r="Q29" s="56"/>
      <c r="R29" s="58"/>
      <c r="S29" s="58"/>
      <c r="T29" s="58"/>
      <c r="U29" s="56"/>
      <c r="V29" s="13"/>
      <c r="W29" s="13"/>
      <c r="X29" s="13" t="s">
        <v>370</v>
      </c>
      <c r="Y29" s="13"/>
      <c r="Z29" s="13"/>
      <c r="AA29" s="13"/>
      <c r="AB29" s="13"/>
      <c r="AC29" s="13"/>
      <c r="AD29" s="13"/>
    </row>
    <row r="30" spans="1:30" ht="30" customHeight="1">
      <c r="A30" s="47">
        <f t="shared" si="2"/>
        <v>28</v>
      </c>
      <c r="B30" s="95" t="s">
        <v>598</v>
      </c>
      <c r="C30" s="95" t="s">
        <v>599</v>
      </c>
      <c r="D30" s="95" t="s">
        <v>373</v>
      </c>
      <c r="E30" s="95" t="s">
        <v>216</v>
      </c>
      <c r="F30" s="96" t="s">
        <v>217</v>
      </c>
      <c r="G30" s="547" t="s">
        <v>218</v>
      </c>
      <c r="H30" s="95" t="s">
        <v>191</v>
      </c>
      <c r="I30" s="198" t="s">
        <v>370</v>
      </c>
      <c r="J30" s="84"/>
      <c r="K30" s="84" t="s">
        <v>370</v>
      </c>
      <c r="L30" s="56"/>
      <c r="M30" s="56"/>
      <c r="N30" s="56"/>
      <c r="O30" s="56"/>
      <c r="P30" s="58"/>
      <c r="Q30" s="56"/>
      <c r="R30" s="58" t="s">
        <v>370</v>
      </c>
      <c r="S30" s="58" t="s">
        <v>370</v>
      </c>
      <c r="T30" s="58" t="s">
        <v>370</v>
      </c>
      <c r="U30" s="56"/>
      <c r="V30" s="13"/>
      <c r="W30" s="13"/>
      <c r="X30" s="13" t="s">
        <v>370</v>
      </c>
      <c r="Y30" s="13"/>
      <c r="Z30" s="13" t="s">
        <v>370</v>
      </c>
      <c r="AA30" s="13"/>
      <c r="AB30" s="13"/>
      <c r="AC30" s="13"/>
      <c r="AD30" s="13"/>
    </row>
    <row r="31" spans="1:30" ht="30" customHeight="1">
      <c r="A31" s="47">
        <f t="shared" si="2"/>
        <v>29</v>
      </c>
      <c r="B31" s="95" t="s">
        <v>594</v>
      </c>
      <c r="C31" s="95" t="s">
        <v>595</v>
      </c>
      <c r="D31" s="95" t="s">
        <v>378</v>
      </c>
      <c r="E31" s="95" t="s">
        <v>210</v>
      </c>
      <c r="F31" s="96" t="s">
        <v>211</v>
      </c>
      <c r="G31" s="97" t="s">
        <v>212</v>
      </c>
      <c r="H31" s="95" t="s">
        <v>191</v>
      </c>
      <c r="I31" s="247" t="s">
        <v>370</v>
      </c>
      <c r="J31" s="83" t="s">
        <v>370</v>
      </c>
      <c r="K31" s="83"/>
      <c r="L31" s="198"/>
      <c r="M31" s="84"/>
      <c r="N31" s="56"/>
      <c r="O31" s="56"/>
      <c r="P31" s="58"/>
      <c r="Q31" s="56"/>
      <c r="R31" s="58"/>
      <c r="S31" s="58"/>
      <c r="T31" s="58"/>
      <c r="U31" s="56"/>
      <c r="V31" s="13"/>
      <c r="W31" s="13"/>
      <c r="X31" s="13" t="s">
        <v>370</v>
      </c>
      <c r="Y31" s="13" t="s">
        <v>370</v>
      </c>
      <c r="Z31" s="13"/>
      <c r="AA31" s="13"/>
      <c r="AB31" s="13"/>
      <c r="AC31" s="13"/>
      <c r="AD31" s="13"/>
    </row>
    <row r="32" spans="1:30" ht="30" customHeight="1">
      <c r="A32" s="47">
        <f t="shared" si="2"/>
        <v>30</v>
      </c>
      <c r="B32" s="95" t="s">
        <v>636</v>
      </c>
      <c r="C32" s="95"/>
      <c r="D32" s="95"/>
      <c r="E32" s="95"/>
      <c r="F32" s="95"/>
      <c r="G32" s="95"/>
      <c r="H32" s="95" t="s">
        <v>191</v>
      </c>
      <c r="I32" s="198"/>
      <c r="J32" s="84"/>
      <c r="K32" s="84"/>
      <c r="L32" s="84"/>
      <c r="M32" s="84"/>
      <c r="N32" s="84"/>
      <c r="O32" s="84" t="s">
        <v>370</v>
      </c>
      <c r="P32" s="83"/>
      <c r="Q32" s="84"/>
      <c r="R32" s="58"/>
      <c r="S32" s="58"/>
      <c r="T32" s="58"/>
      <c r="U32" s="56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 ht="30" customHeight="1">
      <c r="A33" s="47">
        <f t="shared" si="2"/>
        <v>31</v>
      </c>
      <c r="B33" s="95" t="s">
        <v>619</v>
      </c>
      <c r="C33" s="95" t="s">
        <v>413</v>
      </c>
      <c r="D33" s="95" t="s">
        <v>404</v>
      </c>
      <c r="E33" s="95" t="s">
        <v>65</v>
      </c>
      <c r="F33" s="101" t="s">
        <v>66</v>
      </c>
      <c r="G33" s="97" t="s">
        <v>67</v>
      </c>
      <c r="H33" s="95" t="s">
        <v>191</v>
      </c>
      <c r="I33" s="158"/>
      <c r="J33" s="13"/>
      <c r="K33" s="13" t="s">
        <v>370</v>
      </c>
      <c r="L33" s="13" t="s">
        <v>370</v>
      </c>
      <c r="M33" s="13" t="s">
        <v>370</v>
      </c>
      <c r="N33" s="13" t="s">
        <v>370</v>
      </c>
      <c r="O33" s="13"/>
      <c r="P33" s="241"/>
      <c r="Q33" s="56"/>
      <c r="R33" s="58"/>
      <c r="S33" s="58"/>
      <c r="T33" s="58" t="s">
        <v>370</v>
      </c>
      <c r="U33" s="56" t="s">
        <v>370</v>
      </c>
      <c r="V33" s="13"/>
      <c r="W33" s="13" t="s">
        <v>370</v>
      </c>
      <c r="X33" s="13" t="s">
        <v>370</v>
      </c>
      <c r="Y33" s="13"/>
      <c r="Z33" s="13" t="s">
        <v>370</v>
      </c>
      <c r="AA33" s="13" t="s">
        <v>370</v>
      </c>
      <c r="AB33" s="13"/>
      <c r="AC33" s="13"/>
      <c r="AD33" s="13"/>
    </row>
    <row r="34" spans="1:30" ht="30" customHeight="1">
      <c r="A34" s="47">
        <f t="shared" si="2"/>
        <v>32</v>
      </c>
      <c r="B34" s="95" t="s">
        <v>605</v>
      </c>
      <c r="C34" s="95" t="s">
        <v>606</v>
      </c>
      <c r="D34" s="95" t="s">
        <v>404</v>
      </c>
      <c r="E34" s="95" t="s">
        <v>226</v>
      </c>
      <c r="F34" s="96" t="s">
        <v>227</v>
      </c>
      <c r="G34" s="95" t="s">
        <v>228</v>
      </c>
      <c r="H34" s="95" t="s">
        <v>191</v>
      </c>
      <c r="I34" s="158"/>
      <c r="J34" s="13"/>
      <c r="K34" s="13"/>
      <c r="L34" s="13" t="s">
        <v>370</v>
      </c>
      <c r="M34" s="13" t="s">
        <v>370</v>
      </c>
      <c r="N34" s="13"/>
      <c r="O34" s="13" t="s">
        <v>370</v>
      </c>
      <c r="P34" s="247"/>
      <c r="Q34" s="84" t="s">
        <v>370</v>
      </c>
      <c r="R34" s="58"/>
      <c r="S34" s="58"/>
      <c r="T34" s="58"/>
      <c r="U34" s="56" t="s">
        <v>370</v>
      </c>
      <c r="V34" s="13"/>
      <c r="W34" s="13" t="s">
        <v>370</v>
      </c>
      <c r="X34" s="13"/>
      <c r="Y34" s="13"/>
      <c r="Z34" s="13"/>
      <c r="AA34" s="13"/>
      <c r="AB34" s="13"/>
      <c r="AC34" s="13"/>
      <c r="AD34" s="13"/>
    </row>
    <row r="35" spans="1:30" ht="30" customHeight="1">
      <c r="A35" s="47">
        <f t="shared" si="2"/>
        <v>33</v>
      </c>
      <c r="B35" s="95" t="s">
        <v>756</v>
      </c>
      <c r="C35" s="95"/>
      <c r="D35" s="95"/>
      <c r="E35" s="95"/>
      <c r="F35" s="96"/>
      <c r="G35" s="95"/>
      <c r="H35" s="95" t="s">
        <v>191</v>
      </c>
      <c r="P35" s="247"/>
      <c r="Q35" s="84"/>
      <c r="R35" s="83"/>
      <c r="S35" s="83"/>
      <c r="T35" s="83"/>
      <c r="U35" s="84"/>
      <c r="V35" s="13"/>
      <c r="W35" s="13" t="s">
        <v>370</v>
      </c>
      <c r="X35" s="13"/>
      <c r="Y35" s="13" t="s">
        <v>370</v>
      </c>
      <c r="Z35" s="13" t="s">
        <v>370</v>
      </c>
      <c r="AA35" s="13" t="s">
        <v>370</v>
      </c>
      <c r="AB35" s="13"/>
      <c r="AC35" s="13"/>
      <c r="AD35" s="13"/>
    </row>
    <row r="36" spans="1:30" ht="30" customHeight="1">
      <c r="A36" s="47">
        <f t="shared" si="2"/>
        <v>34</v>
      </c>
      <c r="B36" s="95" t="s">
        <v>757</v>
      </c>
      <c r="C36" s="95"/>
      <c r="D36" s="95"/>
      <c r="E36" s="95"/>
      <c r="F36" s="96"/>
      <c r="G36" s="95"/>
      <c r="H36" s="95" t="s">
        <v>191</v>
      </c>
      <c r="P36" s="247"/>
      <c r="Q36" s="84"/>
      <c r="R36" s="83"/>
      <c r="S36" s="83"/>
      <c r="T36" s="83"/>
      <c r="U36" s="84"/>
      <c r="V36" s="13"/>
      <c r="W36" s="13" t="s">
        <v>370</v>
      </c>
      <c r="X36" s="13"/>
      <c r="Y36" s="13" t="s">
        <v>370</v>
      </c>
      <c r="Z36" s="13" t="s">
        <v>370</v>
      </c>
      <c r="AA36" s="13" t="s">
        <v>370</v>
      </c>
      <c r="AB36" s="13"/>
      <c r="AC36" s="13"/>
      <c r="AD36" s="13"/>
    </row>
    <row r="37" spans="1:30" ht="30" customHeight="1">
      <c r="A37" s="47">
        <f t="shared" ref="A37:A46" si="3">A36+1</f>
        <v>35</v>
      </c>
      <c r="B37" s="95" t="s">
        <v>445</v>
      </c>
      <c r="C37" s="95"/>
      <c r="D37" s="95"/>
      <c r="E37" s="95"/>
      <c r="F37" s="95"/>
      <c r="G37" s="95"/>
      <c r="H37" s="95" t="s">
        <v>191</v>
      </c>
      <c r="I37" s="631"/>
      <c r="J37" s="200"/>
      <c r="K37" s="200"/>
      <c r="L37" s="200"/>
      <c r="M37" s="200"/>
      <c r="N37" s="200"/>
      <c r="O37" s="200"/>
      <c r="P37" s="83"/>
      <c r="Q37" s="84" t="s">
        <v>370</v>
      </c>
      <c r="R37" s="83"/>
      <c r="S37" s="83"/>
      <c r="T37" s="83"/>
      <c r="U37" s="84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 ht="30" customHeight="1">
      <c r="A38" s="47">
        <f t="shared" si="3"/>
        <v>36</v>
      </c>
      <c r="B38" s="92" t="s">
        <v>613</v>
      </c>
      <c r="C38" s="92" t="s">
        <v>380</v>
      </c>
      <c r="D38" s="92" t="s">
        <v>367</v>
      </c>
      <c r="E38" s="92" t="s">
        <v>20</v>
      </c>
      <c r="F38" s="634" t="s">
        <v>238</v>
      </c>
      <c r="G38" s="95" t="s">
        <v>22</v>
      </c>
      <c r="H38" s="95" t="s">
        <v>191</v>
      </c>
      <c r="I38" s="182"/>
      <c r="J38" s="85" t="s">
        <v>370</v>
      </c>
      <c r="K38" s="85"/>
      <c r="L38" s="85" t="s">
        <v>370</v>
      </c>
      <c r="M38" s="85" t="s">
        <v>370</v>
      </c>
      <c r="N38" s="85"/>
      <c r="O38" s="85"/>
      <c r="P38" s="85"/>
      <c r="Q38" s="85"/>
      <c r="R38" s="85"/>
      <c r="S38" s="85"/>
      <c r="T38" s="85"/>
      <c r="U38" s="86"/>
      <c r="V38" s="13"/>
      <c r="W38" s="13" t="s">
        <v>370</v>
      </c>
      <c r="X38" s="13" t="s">
        <v>370</v>
      </c>
      <c r="Y38" s="13"/>
      <c r="Z38" s="13" t="s">
        <v>370</v>
      </c>
      <c r="AA38" s="13"/>
      <c r="AB38" s="13"/>
      <c r="AC38" s="13"/>
      <c r="AD38" s="13"/>
    </row>
    <row r="39" spans="1:30" ht="30" customHeight="1">
      <c r="A39" s="47">
        <f t="shared" si="3"/>
        <v>37</v>
      </c>
      <c r="B39" s="95" t="s">
        <v>519</v>
      </c>
      <c r="C39" s="95" t="s">
        <v>471</v>
      </c>
      <c r="D39" s="95" t="s">
        <v>378</v>
      </c>
      <c r="E39" s="95" t="s">
        <v>244</v>
      </c>
      <c r="F39" s="96" t="s">
        <v>245</v>
      </c>
      <c r="G39" s="97" t="s">
        <v>246</v>
      </c>
      <c r="H39" s="95" t="s">
        <v>191</v>
      </c>
      <c r="I39" s="158" t="s">
        <v>370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57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 ht="30" customHeight="1">
      <c r="A40" s="47">
        <f t="shared" si="3"/>
        <v>38</v>
      </c>
      <c r="B40" s="95" t="s">
        <v>519</v>
      </c>
      <c r="C40" s="95" t="s">
        <v>628</v>
      </c>
      <c r="D40" s="95" t="s">
        <v>378</v>
      </c>
      <c r="E40" s="95" t="s">
        <v>629</v>
      </c>
      <c r="F40" s="96" t="s">
        <v>630</v>
      </c>
      <c r="G40" s="95" t="s">
        <v>631</v>
      </c>
      <c r="H40" s="95" t="s">
        <v>191</v>
      </c>
      <c r="I40" s="158" t="s">
        <v>370</v>
      </c>
      <c r="J40" s="13"/>
      <c r="K40" s="13"/>
      <c r="L40" s="13"/>
      <c r="M40" s="13"/>
      <c r="N40" s="13"/>
      <c r="O40" s="13"/>
      <c r="P40" s="13"/>
      <c r="Q40" s="13" t="s">
        <v>370</v>
      </c>
      <c r="R40" s="13" t="s">
        <v>370</v>
      </c>
      <c r="S40" s="13"/>
      <c r="T40" s="13"/>
      <c r="U40" s="57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ht="30" customHeight="1">
      <c r="A41" s="47">
        <f t="shared" si="3"/>
        <v>39</v>
      </c>
      <c r="B41" s="95"/>
      <c r="C41" s="95"/>
      <c r="D41" s="95"/>
      <c r="E41" s="95"/>
      <c r="F41" s="95"/>
      <c r="G41" s="95"/>
      <c r="H41" s="95" t="s">
        <v>191</v>
      </c>
      <c r="I41" s="158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57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 ht="30" customHeight="1">
      <c r="A42" s="47">
        <f t="shared" si="3"/>
        <v>40</v>
      </c>
      <c r="B42" s="95"/>
      <c r="C42" s="95"/>
      <c r="D42" s="95"/>
      <c r="E42" s="95"/>
      <c r="F42" s="95"/>
      <c r="G42" s="95"/>
      <c r="H42" s="95" t="s">
        <v>191</v>
      </c>
      <c r="I42" s="158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57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ht="30" customHeight="1">
      <c r="A43" s="47">
        <f t="shared" si="3"/>
        <v>41</v>
      </c>
      <c r="B43" s="95"/>
      <c r="C43" s="95"/>
      <c r="D43" s="95"/>
      <c r="E43" s="95"/>
      <c r="F43" s="95"/>
      <c r="G43" s="95"/>
      <c r="H43" s="95" t="s">
        <v>191</v>
      </c>
      <c r="I43" s="158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57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ht="30" customHeight="1">
      <c r="A44" s="47">
        <f t="shared" si="3"/>
        <v>42</v>
      </c>
      <c r="B44" s="95"/>
      <c r="C44" s="95"/>
      <c r="D44" s="95"/>
      <c r="E44" s="95"/>
      <c r="F44" s="95"/>
      <c r="G44" s="95"/>
      <c r="H44" s="95" t="s">
        <v>191</v>
      </c>
      <c r="I44" s="158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57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ht="30" customHeight="1">
      <c r="A45" s="47">
        <f t="shared" si="3"/>
        <v>43</v>
      </c>
      <c r="B45" s="95"/>
      <c r="C45" s="95"/>
      <c r="D45" s="95"/>
      <c r="E45" s="95"/>
      <c r="F45" s="95"/>
      <c r="G45" s="95"/>
      <c r="H45" s="95" t="s">
        <v>191</v>
      </c>
      <c r="I45" s="158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57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ht="30" customHeight="1">
      <c r="A46" s="47">
        <f t="shared" si="3"/>
        <v>44</v>
      </c>
      <c r="B46" s="95"/>
      <c r="C46" s="95"/>
      <c r="D46" s="95"/>
      <c r="E46" s="95"/>
      <c r="F46" s="95"/>
      <c r="G46" s="95"/>
      <c r="H46" s="95" t="s">
        <v>191</v>
      </c>
      <c r="I46" s="158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57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>
      <c r="B47" s="47"/>
      <c r="C47" s="47"/>
      <c r="D47" s="47"/>
      <c r="E47" s="47"/>
      <c r="F47" s="47"/>
      <c r="G47" s="47"/>
      <c r="H47" s="47"/>
    </row>
    <row r="48" spans="1:30">
      <c r="B48" s="47"/>
      <c r="C48" s="47"/>
      <c r="D48" s="47"/>
      <c r="E48" s="47"/>
      <c r="F48" s="47"/>
      <c r="G48" s="47"/>
      <c r="H48" s="47"/>
      <c r="V48" s="47">
        <f t="shared" ref="V48:AD48" si="4">COUNTIF(V3:V46,"YES")</f>
        <v>6</v>
      </c>
      <c r="W48" s="47">
        <f t="shared" si="4"/>
        <v>12</v>
      </c>
      <c r="X48" s="47">
        <f t="shared" si="4"/>
        <v>17</v>
      </c>
      <c r="Y48" s="47">
        <f t="shared" si="4"/>
        <v>11</v>
      </c>
      <c r="Z48" s="47">
        <f t="shared" si="4"/>
        <v>10</v>
      </c>
      <c r="AA48" s="47">
        <f t="shared" si="4"/>
        <v>17</v>
      </c>
      <c r="AB48" s="47">
        <f t="shared" si="4"/>
        <v>0</v>
      </c>
      <c r="AC48" s="47">
        <f t="shared" si="4"/>
        <v>0</v>
      </c>
      <c r="AD48" s="47">
        <f t="shared" si="4"/>
        <v>0</v>
      </c>
    </row>
    <row r="49" spans="2:8">
      <c r="B49" s="47"/>
      <c r="C49" s="47"/>
      <c r="D49" s="47"/>
      <c r="E49" s="47"/>
      <c r="F49" s="47"/>
      <c r="G49" s="47"/>
      <c r="H49" s="47"/>
    </row>
    <row r="50" spans="2:8">
      <c r="B50" s="47"/>
      <c r="C50" s="47"/>
      <c r="D50" s="47"/>
      <c r="E50" s="47"/>
      <c r="F50" s="47"/>
      <c r="G50" s="47"/>
      <c r="H50" s="47"/>
    </row>
    <row r="51" spans="2:8">
      <c r="B51" s="47"/>
      <c r="C51" s="47"/>
      <c r="D51" s="47"/>
      <c r="E51" s="47"/>
      <c r="F51" s="47"/>
      <c r="G51" s="47"/>
      <c r="H51" s="47"/>
    </row>
    <row r="52" spans="2:8">
      <c r="B52" s="47"/>
      <c r="C52" s="47"/>
      <c r="D52" s="47"/>
      <c r="E52" s="47"/>
      <c r="F52" s="47"/>
      <c r="G52" s="47"/>
      <c r="H52" s="47"/>
    </row>
    <row r="53" spans="2:8">
      <c r="B53" s="47"/>
      <c r="C53" s="47"/>
      <c r="D53" s="47"/>
      <c r="E53" s="47"/>
      <c r="F53" s="47"/>
      <c r="G53" s="47"/>
      <c r="H53" s="47"/>
    </row>
    <row r="54" spans="2:8">
      <c r="B54" s="47"/>
      <c r="C54" s="47"/>
      <c r="D54" s="47"/>
      <c r="E54" s="47"/>
      <c r="F54" s="47"/>
      <c r="G54" s="47"/>
      <c r="H54" s="47"/>
    </row>
    <row r="55" spans="2:8">
      <c r="B55" s="47"/>
      <c r="C55" s="47"/>
      <c r="D55" s="47"/>
      <c r="E55" s="47"/>
      <c r="F55" s="47"/>
      <c r="G55" s="47"/>
      <c r="H55" s="47"/>
    </row>
    <row r="56" spans="2:8">
      <c r="B56" s="47"/>
      <c r="C56" s="47"/>
      <c r="D56" s="47"/>
      <c r="E56" s="47"/>
      <c r="F56" s="47"/>
      <c r="G56" s="47"/>
      <c r="H56" s="47"/>
    </row>
    <row r="57" spans="2:8">
      <c r="B57" s="47"/>
      <c r="C57" s="47"/>
      <c r="D57" s="47"/>
      <c r="E57" s="47"/>
      <c r="F57" s="47"/>
      <c r="G57" s="47"/>
      <c r="H57" s="47"/>
    </row>
    <row r="58" spans="2:8">
      <c r="B58" s="47"/>
      <c r="C58" s="47"/>
      <c r="D58" s="47"/>
      <c r="E58" s="47"/>
      <c r="F58" s="47"/>
      <c r="G58" s="47"/>
      <c r="H58" s="47"/>
    </row>
    <row r="59" spans="2:8">
      <c r="B59" s="47"/>
      <c r="C59" s="47"/>
      <c r="D59" s="47"/>
      <c r="E59" s="47"/>
      <c r="F59" s="47"/>
      <c r="G59" s="47"/>
      <c r="H59" s="47"/>
    </row>
    <row r="60" spans="2:8">
      <c r="B60" s="47"/>
      <c r="C60" s="47"/>
      <c r="D60" s="47"/>
      <c r="E60" s="47"/>
      <c r="F60" s="47"/>
      <c r="G60" s="47"/>
      <c r="H60" s="47"/>
    </row>
    <row r="61" spans="2:8">
      <c r="B61" s="47"/>
      <c r="C61" s="47"/>
      <c r="D61" s="47"/>
      <c r="E61" s="47"/>
      <c r="F61" s="47"/>
      <c r="G61" s="47"/>
      <c r="H61" s="47"/>
    </row>
    <row r="62" spans="2:8">
      <c r="B62" s="47"/>
      <c r="C62" s="47"/>
      <c r="D62" s="47"/>
      <c r="E62" s="47"/>
      <c r="F62" s="47"/>
      <c r="G62" s="47"/>
      <c r="H62" s="47"/>
    </row>
    <row r="63" spans="2:8">
      <c r="B63" s="47"/>
      <c r="C63" s="47"/>
      <c r="D63" s="47"/>
      <c r="E63" s="47"/>
      <c r="F63" s="47"/>
      <c r="G63" s="47"/>
      <c r="H63" s="47"/>
    </row>
    <row r="64" spans="2:8">
      <c r="B64" s="47"/>
      <c r="C64" s="47"/>
      <c r="D64" s="47"/>
      <c r="E64" s="47"/>
      <c r="F64" s="47"/>
      <c r="G64" s="47"/>
      <c r="H64" s="47"/>
    </row>
    <row r="65" spans="2:8">
      <c r="B65" s="47"/>
      <c r="C65" s="47"/>
      <c r="D65" s="47"/>
      <c r="E65" s="47"/>
      <c r="F65" s="47"/>
      <c r="G65" s="47"/>
      <c r="H65" s="47"/>
    </row>
    <row r="66" spans="2:8">
      <c r="B66" s="47"/>
      <c r="C66" s="47"/>
      <c r="D66" s="47"/>
      <c r="E66" s="47"/>
      <c r="F66" s="47"/>
      <c r="G66" s="47"/>
      <c r="H66" s="47"/>
    </row>
    <row r="67" spans="2:8">
      <c r="B67" s="47"/>
      <c r="C67" s="47"/>
      <c r="D67" s="47"/>
      <c r="E67" s="47"/>
      <c r="F67" s="47"/>
      <c r="G67" s="47"/>
      <c r="H67" s="47"/>
    </row>
    <row r="68" spans="2:8">
      <c r="B68" s="47"/>
      <c r="C68" s="47"/>
      <c r="D68" s="47"/>
      <c r="E68" s="47"/>
      <c r="F68" s="47"/>
      <c r="G68" s="47"/>
      <c r="H68" s="47"/>
    </row>
    <row r="69" spans="2:8">
      <c r="B69" s="47"/>
      <c r="C69" s="47"/>
      <c r="D69" s="47"/>
      <c r="E69" s="47"/>
      <c r="F69" s="47"/>
      <c r="G69" s="47"/>
      <c r="H69" s="47"/>
    </row>
    <row r="70" spans="2:8">
      <c r="B70" s="47"/>
      <c r="C70" s="47"/>
      <c r="D70" s="47"/>
      <c r="E70" s="47"/>
      <c r="F70" s="47"/>
      <c r="G70" s="47"/>
      <c r="H70" s="47"/>
    </row>
    <row r="71" spans="2:8">
      <c r="B71" s="47"/>
      <c r="C71" s="47"/>
      <c r="D71" s="47"/>
      <c r="E71" s="47"/>
      <c r="F71" s="47"/>
      <c r="G71" s="47"/>
      <c r="H71" s="47"/>
    </row>
    <row r="72" spans="2:8">
      <c r="B72" s="47"/>
      <c r="C72" s="47"/>
      <c r="D72" s="47"/>
      <c r="E72" s="47"/>
      <c r="F72" s="47"/>
      <c r="G72" s="47"/>
      <c r="H72" s="47"/>
    </row>
    <row r="73" spans="2:8">
      <c r="B73" s="47"/>
      <c r="C73" s="47"/>
      <c r="D73" s="47"/>
      <c r="E73" s="47"/>
      <c r="F73" s="47"/>
      <c r="G73" s="47"/>
      <c r="H73" s="47"/>
    </row>
    <row r="74" spans="2:8">
      <c r="B74" s="47"/>
      <c r="C74" s="47"/>
      <c r="D74" s="47"/>
      <c r="E74" s="47"/>
      <c r="F74" s="47"/>
      <c r="G74" s="47"/>
      <c r="H74" s="47"/>
    </row>
    <row r="75" spans="2:8">
      <c r="B75" s="47"/>
      <c r="C75" s="47"/>
      <c r="D75" s="47"/>
      <c r="E75" s="47"/>
      <c r="F75" s="47"/>
      <c r="G75" s="47"/>
      <c r="H75" s="47"/>
    </row>
    <row r="76" spans="2:8">
      <c r="B76" s="47"/>
      <c r="C76" s="47"/>
      <c r="D76" s="47"/>
      <c r="E76" s="47"/>
      <c r="F76" s="47"/>
      <c r="G76" s="47"/>
      <c r="H76" s="47"/>
    </row>
    <row r="77" spans="2:8">
      <c r="B77" s="47"/>
      <c r="C77" s="47"/>
      <c r="D77" s="47"/>
      <c r="E77" s="47"/>
      <c r="F77" s="47"/>
      <c r="G77" s="47"/>
      <c r="H77" s="47"/>
    </row>
    <row r="78" spans="2:8">
      <c r="B78" s="47"/>
      <c r="C78" s="47"/>
      <c r="D78" s="47"/>
      <c r="E78" s="47"/>
      <c r="F78" s="47"/>
      <c r="G78" s="47"/>
      <c r="H78" s="47"/>
    </row>
    <row r="79" spans="2:8">
      <c r="B79" s="47"/>
      <c r="C79" s="47"/>
      <c r="D79" s="47"/>
      <c r="E79" s="47"/>
      <c r="F79" s="47"/>
      <c r="G79" s="47"/>
      <c r="H79" s="47"/>
    </row>
    <row r="80" spans="2:8">
      <c r="B80" s="47"/>
      <c r="C80" s="47"/>
      <c r="D80" s="47"/>
      <c r="E80" s="47"/>
      <c r="F80" s="47"/>
      <c r="G80" s="47"/>
      <c r="H80" s="47"/>
    </row>
    <row r="81" spans="2:8">
      <c r="B81" s="47"/>
      <c r="C81" s="47"/>
      <c r="D81" s="47"/>
      <c r="E81" s="47"/>
      <c r="F81" s="47"/>
      <c r="G81" s="47"/>
      <c r="H81" s="47"/>
    </row>
    <row r="82" spans="2:8">
      <c r="B82" s="47"/>
      <c r="C82" s="47"/>
      <c r="D82" s="47"/>
      <c r="E82" s="47"/>
      <c r="F82" s="47"/>
      <c r="G82" s="47"/>
      <c r="H82" s="47"/>
    </row>
    <row r="83" spans="2:8">
      <c r="B83" s="47"/>
      <c r="C83" s="47"/>
      <c r="D83" s="47"/>
      <c r="E83" s="47"/>
      <c r="F83" s="47"/>
      <c r="G83" s="47"/>
      <c r="H83" s="47"/>
    </row>
    <row r="84" spans="2:8">
      <c r="B84" s="47"/>
      <c r="C84" s="47"/>
      <c r="D84" s="47"/>
      <c r="E84" s="47"/>
      <c r="F84" s="47"/>
      <c r="G84" s="47"/>
      <c r="H84" s="47"/>
    </row>
    <row r="85" spans="2:8">
      <c r="B85" s="47"/>
      <c r="C85" s="47"/>
      <c r="D85" s="47"/>
      <c r="E85" s="47"/>
      <c r="F85" s="47"/>
      <c r="G85" s="47"/>
      <c r="H85" s="47"/>
    </row>
    <row r="86" spans="2:8">
      <c r="B86" s="47"/>
      <c r="C86" s="47"/>
      <c r="D86" s="47"/>
      <c r="E86" s="47"/>
      <c r="F86" s="47"/>
      <c r="G86" s="47"/>
      <c r="H86" s="47"/>
    </row>
    <row r="87" spans="2:8">
      <c r="B87" s="47"/>
      <c r="C87" s="47"/>
      <c r="D87" s="47"/>
      <c r="E87" s="47"/>
      <c r="F87" s="47"/>
      <c r="G87" s="47"/>
      <c r="H87" s="47"/>
    </row>
    <row r="88" spans="2:8">
      <c r="B88" s="47"/>
      <c r="C88" s="47"/>
      <c r="D88" s="47"/>
      <c r="E88" s="47"/>
      <c r="F88" s="47"/>
      <c r="G88" s="47"/>
      <c r="H88" s="47"/>
    </row>
    <row r="89" spans="2:8">
      <c r="B89" s="47"/>
      <c r="C89" s="47"/>
      <c r="D89" s="47"/>
      <c r="E89" s="47"/>
      <c r="F89" s="47"/>
      <c r="G89" s="47"/>
      <c r="H89" s="47"/>
    </row>
    <row r="90" spans="2:8">
      <c r="B90" s="47"/>
      <c r="C90" s="47"/>
      <c r="D90" s="47"/>
      <c r="E90" s="47"/>
      <c r="F90" s="47"/>
      <c r="G90" s="47"/>
      <c r="H90" s="47"/>
    </row>
    <row r="91" spans="2:8">
      <c r="B91" s="47"/>
      <c r="C91" s="47"/>
      <c r="D91" s="47"/>
      <c r="E91" s="47"/>
      <c r="F91" s="47"/>
      <c r="G91" s="47"/>
      <c r="H91" s="47"/>
    </row>
    <row r="92" spans="2:8">
      <c r="B92" s="47"/>
      <c r="C92" s="47"/>
      <c r="D92" s="47"/>
      <c r="E92" s="47"/>
      <c r="F92" s="47"/>
      <c r="G92" s="47"/>
      <c r="H92" s="47"/>
    </row>
    <row r="93" spans="2:8">
      <c r="B93" s="47"/>
      <c r="C93" s="47"/>
      <c r="D93" s="47"/>
      <c r="E93" s="47"/>
      <c r="F93" s="47"/>
      <c r="G93" s="47"/>
      <c r="H93" s="47"/>
    </row>
    <row r="94" spans="2:8">
      <c r="B94" s="47"/>
      <c r="C94" s="47"/>
      <c r="D94" s="47"/>
      <c r="E94" s="47"/>
      <c r="F94" s="47"/>
      <c r="G94" s="47"/>
      <c r="H94" s="47"/>
    </row>
    <row r="95" spans="2:8">
      <c r="B95" s="47"/>
      <c r="C95" s="47"/>
      <c r="D95" s="47"/>
      <c r="E95" s="47"/>
      <c r="F95" s="47"/>
      <c r="G95" s="47"/>
      <c r="H95" s="47"/>
    </row>
    <row r="96" spans="2:8">
      <c r="B96" s="47"/>
      <c r="C96" s="47"/>
      <c r="D96" s="47"/>
      <c r="E96" s="47"/>
      <c r="F96" s="47"/>
      <c r="G96" s="47"/>
      <c r="H96" s="47"/>
    </row>
    <row r="97" spans="2:8">
      <c r="B97" s="47"/>
      <c r="C97" s="47"/>
      <c r="D97" s="47"/>
      <c r="E97" s="47"/>
      <c r="F97" s="47"/>
      <c r="G97" s="47"/>
      <c r="H97" s="47"/>
    </row>
    <row r="98" spans="2:8">
      <c r="B98" s="47"/>
      <c r="C98" s="47"/>
      <c r="D98" s="47"/>
      <c r="E98" s="47"/>
      <c r="F98" s="47"/>
      <c r="G98" s="47"/>
      <c r="H98" s="47"/>
    </row>
    <row r="99" spans="2:8">
      <c r="B99" s="47"/>
      <c r="C99" s="47"/>
      <c r="D99" s="47"/>
      <c r="E99" s="47"/>
      <c r="F99" s="47"/>
      <c r="G99" s="47"/>
      <c r="H99" s="47"/>
    </row>
    <row r="100" spans="2:8">
      <c r="B100" s="47"/>
      <c r="C100" s="47"/>
      <c r="D100" s="47"/>
      <c r="E100" s="47"/>
      <c r="F100" s="47"/>
      <c r="G100" s="47"/>
      <c r="H100" s="47"/>
    </row>
    <row r="101" spans="2:8">
      <c r="B101" s="47"/>
      <c r="C101" s="47"/>
      <c r="D101" s="47"/>
      <c r="E101" s="47"/>
      <c r="F101" s="47"/>
      <c r="G101" s="47"/>
      <c r="H101" s="47"/>
    </row>
    <row r="102" spans="2:8">
      <c r="B102" s="47"/>
      <c r="C102" s="47"/>
      <c r="D102" s="47"/>
      <c r="E102" s="47"/>
      <c r="F102" s="47"/>
      <c r="G102" s="47"/>
      <c r="H102" s="47"/>
    </row>
    <row r="103" spans="2:8">
      <c r="B103" s="47"/>
      <c r="C103" s="47"/>
      <c r="D103" s="47"/>
      <c r="E103" s="47"/>
      <c r="F103" s="47"/>
      <c r="G103" s="47"/>
      <c r="H103" s="47"/>
    </row>
    <row r="104" spans="2:8">
      <c r="B104" s="47"/>
      <c r="C104" s="47"/>
      <c r="D104" s="47"/>
      <c r="E104" s="47"/>
      <c r="F104" s="47"/>
      <c r="G104" s="47"/>
      <c r="H104" s="47"/>
    </row>
    <row r="105" spans="2:8">
      <c r="B105" s="47"/>
      <c r="C105" s="47"/>
      <c r="D105" s="47"/>
      <c r="E105" s="47"/>
      <c r="F105" s="47"/>
      <c r="G105" s="47"/>
      <c r="H105" s="47"/>
    </row>
    <row r="106" spans="2:8">
      <c r="B106" s="47"/>
      <c r="C106" s="47"/>
      <c r="D106" s="47"/>
      <c r="E106" s="47"/>
      <c r="F106" s="47"/>
      <c r="G106" s="47"/>
      <c r="H106" s="47"/>
    </row>
    <row r="107" spans="2:8">
      <c r="B107" s="47"/>
      <c r="C107" s="47"/>
      <c r="D107" s="47"/>
      <c r="E107" s="47"/>
      <c r="F107" s="47"/>
      <c r="G107" s="47"/>
      <c r="H107" s="47"/>
    </row>
    <row r="108" spans="2:8">
      <c r="B108" s="47"/>
      <c r="C108" s="47"/>
      <c r="D108" s="47"/>
      <c r="E108" s="47"/>
      <c r="F108" s="47"/>
      <c r="G108" s="47"/>
      <c r="H108" s="47"/>
    </row>
    <row r="109" spans="2:8">
      <c r="B109" s="47"/>
      <c r="C109" s="47"/>
      <c r="D109" s="47"/>
      <c r="E109" s="47"/>
      <c r="F109" s="47"/>
      <c r="G109" s="47"/>
      <c r="H109" s="47"/>
    </row>
    <row r="110" spans="2:8">
      <c r="B110" s="47"/>
      <c r="C110" s="47"/>
      <c r="D110" s="47"/>
      <c r="E110" s="47"/>
      <c r="F110" s="47"/>
      <c r="G110" s="47"/>
      <c r="H110" s="47"/>
    </row>
    <row r="111" spans="2:8">
      <c r="B111" s="47"/>
      <c r="C111" s="47"/>
      <c r="D111" s="47"/>
      <c r="E111" s="47"/>
      <c r="F111" s="47"/>
      <c r="G111" s="47"/>
      <c r="H111" s="47"/>
    </row>
    <row r="112" spans="2:8">
      <c r="B112" s="47"/>
      <c r="C112" s="47"/>
      <c r="D112" s="47"/>
      <c r="E112" s="47"/>
      <c r="F112" s="47"/>
      <c r="G112" s="47"/>
      <c r="H112" s="47"/>
    </row>
    <row r="113" spans="2:8">
      <c r="B113" s="47"/>
      <c r="C113" s="47"/>
      <c r="D113" s="47"/>
      <c r="E113" s="47"/>
      <c r="F113" s="47"/>
      <c r="G113" s="47"/>
      <c r="H113" s="47"/>
    </row>
    <row r="114" spans="2:8">
      <c r="B114" s="47"/>
      <c r="C114" s="47"/>
      <c r="D114" s="47"/>
      <c r="E114" s="47"/>
      <c r="F114" s="47"/>
      <c r="G114" s="47"/>
      <c r="H114" s="47"/>
    </row>
    <row r="115" spans="2:8">
      <c r="B115" s="47"/>
      <c r="C115" s="47"/>
      <c r="D115" s="47"/>
      <c r="E115" s="47"/>
      <c r="F115" s="47"/>
      <c r="G115" s="47"/>
      <c r="H115" s="47"/>
    </row>
    <row r="116" spans="2:8">
      <c r="B116" s="47"/>
      <c r="C116" s="47"/>
      <c r="D116" s="47"/>
      <c r="E116" s="47"/>
      <c r="F116" s="47"/>
      <c r="G116" s="47"/>
      <c r="H116" s="47"/>
    </row>
    <row r="117" spans="2:8">
      <c r="B117" s="47"/>
      <c r="C117" s="47"/>
      <c r="D117" s="47"/>
      <c r="E117" s="47"/>
      <c r="F117" s="47"/>
      <c r="G117" s="47"/>
      <c r="H117" s="47"/>
    </row>
    <row r="118" spans="2:8">
      <c r="B118" s="47"/>
      <c r="C118" s="47"/>
      <c r="D118" s="47"/>
      <c r="E118" s="47"/>
      <c r="F118" s="47"/>
      <c r="G118" s="47"/>
      <c r="H118" s="47"/>
    </row>
    <row r="119" spans="2:8">
      <c r="B119" s="47"/>
      <c r="C119" s="47"/>
      <c r="D119" s="47"/>
      <c r="E119" s="47"/>
      <c r="F119" s="47"/>
      <c r="G119" s="47"/>
      <c r="H119" s="47"/>
    </row>
    <row r="120" spans="2:8">
      <c r="B120" s="47"/>
      <c r="C120" s="47"/>
      <c r="D120" s="47"/>
      <c r="E120" s="47"/>
      <c r="F120" s="47"/>
      <c r="G120" s="47"/>
      <c r="H120" s="47"/>
    </row>
    <row r="121" spans="2:8">
      <c r="B121" s="47"/>
      <c r="C121" s="47"/>
      <c r="D121" s="47"/>
      <c r="E121" s="47"/>
      <c r="F121" s="47"/>
      <c r="G121" s="47"/>
      <c r="H121" s="47"/>
    </row>
    <row r="122" spans="2:8">
      <c r="B122" s="47"/>
      <c r="C122" s="47"/>
      <c r="D122" s="47"/>
      <c r="E122" s="47"/>
      <c r="F122" s="47"/>
      <c r="G122" s="47"/>
      <c r="H122" s="47"/>
    </row>
    <row r="123" spans="2:8">
      <c r="B123" s="47"/>
      <c r="C123" s="47"/>
      <c r="D123" s="47"/>
      <c r="E123" s="47"/>
      <c r="F123" s="47"/>
      <c r="G123" s="47"/>
      <c r="H123" s="47"/>
    </row>
    <row r="124" spans="2:8">
      <c r="B124" s="47"/>
      <c r="C124" s="47"/>
      <c r="D124" s="47"/>
      <c r="E124" s="47"/>
      <c r="F124" s="47"/>
      <c r="G124" s="47"/>
      <c r="H124" s="47"/>
    </row>
    <row r="125" spans="2:8">
      <c r="B125" s="47"/>
      <c r="C125" s="47"/>
      <c r="D125" s="47"/>
      <c r="E125" s="47"/>
      <c r="F125" s="47"/>
      <c r="G125" s="47"/>
      <c r="H125" s="47"/>
    </row>
    <row r="126" spans="2:8">
      <c r="B126" s="47"/>
      <c r="C126" s="47"/>
      <c r="D126" s="47"/>
      <c r="E126" s="47"/>
      <c r="F126" s="47"/>
      <c r="G126" s="47"/>
      <c r="H126" s="47"/>
    </row>
    <row r="127" spans="2:8">
      <c r="B127" s="47"/>
      <c r="C127" s="47"/>
      <c r="D127" s="47"/>
      <c r="E127" s="47"/>
      <c r="F127" s="47"/>
      <c r="G127" s="47"/>
      <c r="H127" s="47"/>
    </row>
    <row r="128" spans="2:8">
      <c r="B128" s="47"/>
      <c r="C128" s="47"/>
      <c r="D128" s="47"/>
      <c r="E128" s="47"/>
      <c r="F128" s="47"/>
      <c r="G128" s="47"/>
      <c r="H128" s="47"/>
    </row>
    <row r="129" spans="2:8">
      <c r="B129" s="47"/>
      <c r="C129" s="47"/>
      <c r="D129" s="47"/>
      <c r="E129" s="47"/>
      <c r="F129" s="47"/>
      <c r="G129" s="47"/>
      <c r="H129" s="47"/>
    </row>
    <row r="130" spans="2:8">
      <c r="B130" s="47"/>
      <c r="C130" s="47"/>
      <c r="D130" s="47"/>
      <c r="E130" s="47"/>
      <c r="F130" s="47"/>
      <c r="G130" s="47"/>
      <c r="H130" s="47"/>
    </row>
    <row r="131" spans="2:8">
      <c r="B131" s="590"/>
      <c r="C131" s="590"/>
      <c r="D131" s="590"/>
      <c r="E131" s="590"/>
      <c r="F131" s="590"/>
      <c r="G131" s="590"/>
      <c r="H131" s="590"/>
    </row>
  </sheetData>
  <sortState xmlns:xlrd2="http://schemas.microsoft.com/office/spreadsheetml/2017/richdata2" ref="B3:U40">
    <sortCondition ref="B3:B40"/>
  </sortState>
  <mergeCells count="1">
    <mergeCell ref="B1:H1"/>
  </mergeCells>
  <dataValidations count="1">
    <dataValidation allowBlank="1" showInputMessage="1" showErrorMessage="1" sqref="G19 B11:B18 B2:H10 B19:D20 E19 B21:B1048576 H11:H46" xr:uid="{00000000-0002-0000-0700-000000000000}"/>
  </dataValidations>
  <hyperlinks>
    <hyperlink ref="F3" r:id="rId1" xr:uid="{00000000-0004-0000-0700-000000000000}"/>
    <hyperlink ref="F24" r:id="rId2" xr:uid="{00000000-0004-0000-0700-000001000000}"/>
    <hyperlink ref="F38" r:id="rId3" xr:uid="{00000000-0004-0000-0700-000002000000}"/>
    <hyperlink ref="F21" r:id="rId4" xr:uid="{00000000-0004-0000-0700-000003000000}"/>
    <hyperlink ref="F33" r:id="rId5" xr:uid="{00000000-0004-0000-0700-000004000000}"/>
    <hyperlink ref="F19" r:id="rId6" xr:uid="{00000000-0004-0000-0700-000005000000}"/>
  </hyperlinks>
  <pageMargins left="0.2" right="0.2" top="0.75" bottom="0.5" header="0.3" footer="0.3"/>
  <pageSetup paperSize="9" scale="33" fitToHeight="2" orientation="landscape" horizontalDpi="4294967293"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227"/>
  <sheetViews>
    <sheetView topLeftCell="H1" zoomScale="85" zoomScaleNormal="85" workbookViewId="0">
      <selection activeCell="V12" sqref="V12"/>
    </sheetView>
  </sheetViews>
  <sheetFormatPr defaultColWidth="9" defaultRowHeight="21" outlineLevelCol="1"/>
  <cols>
    <col min="1" max="1" width="8.875" style="47"/>
    <col min="2" max="5" width="30.625" style="1" customWidth="1" outlineLevel="1"/>
    <col min="6" max="6" width="46.625" style="1" customWidth="1" outlineLevel="1"/>
    <col min="7" max="7" width="26.125" style="1" customWidth="1" outlineLevel="1"/>
    <col min="8" max="8" width="12.5" style="1" customWidth="1" outlineLevel="1"/>
    <col min="9" max="9" width="9.5" customWidth="1"/>
    <col min="10" max="13" width="11.125" customWidth="1"/>
    <col min="14" max="14" width="9.125" customWidth="1"/>
    <col min="15" max="17" width="10" customWidth="1"/>
    <col min="18" max="18" width="9" style="2" customWidth="1"/>
    <col min="19" max="21" width="9.125" style="2" customWidth="1"/>
    <col min="22" max="23" width="9" customWidth="1"/>
    <col min="24" max="26" width="10.5" customWidth="1"/>
    <col min="27" max="27" width="10.375" style="47" bestFit="1" customWidth="1"/>
    <col min="28" max="28" width="11.625" style="47" bestFit="1" customWidth="1"/>
    <col min="29" max="29" width="12.375" style="47" bestFit="1" customWidth="1"/>
    <col min="30" max="30" width="12.125" style="47" bestFit="1" customWidth="1"/>
  </cols>
  <sheetData>
    <row r="1" spans="1:30" ht="30" customHeight="1">
      <c r="B1" s="656" t="s">
        <v>745</v>
      </c>
      <c r="C1" s="656"/>
      <c r="D1" s="656"/>
      <c r="E1" s="656"/>
      <c r="F1" s="656"/>
      <c r="G1" s="656"/>
      <c r="H1" s="656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</row>
    <row r="2" spans="1:30" ht="30" customHeight="1">
      <c r="B2" s="48" t="s">
        <v>357</v>
      </c>
      <c r="C2" s="48" t="s">
        <v>358</v>
      </c>
      <c r="D2" s="48" t="s">
        <v>359</v>
      </c>
      <c r="E2" s="48" t="s">
        <v>360</v>
      </c>
      <c r="F2" s="48" t="s">
        <v>361</v>
      </c>
      <c r="G2" s="48" t="s">
        <v>362</v>
      </c>
      <c r="H2" s="49" t="s">
        <v>363</v>
      </c>
      <c r="I2" s="50">
        <v>46145</v>
      </c>
      <c r="J2" s="50">
        <v>46152</v>
      </c>
      <c r="K2" s="50">
        <v>46159</v>
      </c>
      <c r="L2" s="50">
        <v>46166</v>
      </c>
      <c r="M2" s="50">
        <v>46173</v>
      </c>
      <c r="N2" s="50">
        <v>46180</v>
      </c>
      <c r="O2" s="11">
        <v>46187</v>
      </c>
      <c r="P2" s="11">
        <f>O2+7</f>
        <v>46194</v>
      </c>
      <c r="Q2" s="51">
        <f t="shared" ref="Q2:R2" si="0">P2+7</f>
        <v>46201</v>
      </c>
      <c r="R2" s="52">
        <f t="shared" si="0"/>
        <v>46208</v>
      </c>
      <c r="S2" s="52">
        <f t="shared" ref="S2:V2" si="1">R2+7</f>
        <v>46215</v>
      </c>
      <c r="T2" s="52">
        <f t="shared" si="1"/>
        <v>46222</v>
      </c>
      <c r="U2" s="50">
        <f t="shared" si="1"/>
        <v>46229</v>
      </c>
      <c r="V2" s="11">
        <f t="shared" si="1"/>
        <v>46236</v>
      </c>
      <c r="W2" s="11">
        <f t="shared" ref="W2:Z2" si="2">V2+7</f>
        <v>46243</v>
      </c>
      <c r="X2" s="11">
        <f t="shared" si="2"/>
        <v>46250</v>
      </c>
      <c r="Y2" s="11">
        <f t="shared" si="2"/>
        <v>46257</v>
      </c>
      <c r="Z2" s="11">
        <f t="shared" si="2"/>
        <v>46264</v>
      </c>
      <c r="AA2" s="11">
        <f>Z2+7</f>
        <v>46271</v>
      </c>
      <c r="AB2" s="11">
        <f t="shared" ref="AB2:AD2" si="3">AA2+7</f>
        <v>46278</v>
      </c>
      <c r="AC2" s="11">
        <f t="shared" si="3"/>
        <v>46285</v>
      </c>
      <c r="AD2" s="11">
        <f t="shared" si="3"/>
        <v>46292</v>
      </c>
    </row>
    <row r="3" spans="1:30" ht="30" customHeight="1">
      <c r="A3" s="47">
        <v>1</v>
      </c>
      <c r="B3" s="53" t="s">
        <v>488</v>
      </c>
      <c r="C3" s="53" t="s">
        <v>489</v>
      </c>
      <c r="D3" s="53" t="s">
        <v>378</v>
      </c>
      <c r="E3" s="53" t="s">
        <v>142</v>
      </c>
      <c r="F3" s="68" t="s">
        <v>143</v>
      </c>
      <c r="G3" s="54" t="s">
        <v>144</v>
      </c>
      <c r="H3" s="55" t="s">
        <v>90</v>
      </c>
      <c r="I3" s="56"/>
      <c r="J3" s="56"/>
      <c r="K3" s="56" t="s">
        <v>370</v>
      </c>
      <c r="L3" s="56"/>
      <c r="M3" s="56" t="s">
        <v>370</v>
      </c>
      <c r="N3" s="56"/>
      <c r="O3" s="13"/>
      <c r="P3" s="13"/>
      <c r="Q3" s="57"/>
      <c r="R3" s="58"/>
      <c r="S3" s="58"/>
      <c r="T3" s="58"/>
      <c r="U3" s="56"/>
      <c r="V3" s="18"/>
      <c r="W3" s="18"/>
      <c r="X3" s="18" t="s">
        <v>370</v>
      </c>
      <c r="Y3" s="18" t="s">
        <v>370</v>
      </c>
      <c r="Z3" s="18"/>
      <c r="AA3" s="13"/>
      <c r="AB3" s="13"/>
      <c r="AC3" s="13"/>
      <c r="AD3" s="13"/>
    </row>
    <row r="4" spans="1:30" ht="30" customHeight="1">
      <c r="A4" s="47">
        <f>A3+1</f>
        <v>2</v>
      </c>
      <c r="B4" s="53" t="s">
        <v>508</v>
      </c>
      <c r="C4" s="53" t="s">
        <v>509</v>
      </c>
      <c r="D4" s="53" t="s">
        <v>404</v>
      </c>
      <c r="E4" s="53" t="s">
        <v>170</v>
      </c>
      <c r="F4" s="54" t="s">
        <v>171</v>
      </c>
      <c r="G4" s="53" t="s">
        <v>172</v>
      </c>
      <c r="H4" s="55" t="s">
        <v>90</v>
      </c>
      <c r="I4" s="56"/>
      <c r="J4" s="56"/>
      <c r="K4" s="56"/>
      <c r="L4" s="56" t="s">
        <v>370</v>
      </c>
      <c r="M4" s="56"/>
      <c r="N4" s="56"/>
      <c r="O4" s="13" t="s">
        <v>370</v>
      </c>
      <c r="P4" s="13"/>
      <c r="Q4" s="57" t="s">
        <v>370</v>
      </c>
      <c r="R4" s="58" t="s">
        <v>370</v>
      </c>
      <c r="S4" s="58" t="s">
        <v>370</v>
      </c>
      <c r="T4" s="58" t="s">
        <v>370</v>
      </c>
      <c r="U4" s="56" t="s">
        <v>370</v>
      </c>
      <c r="V4" s="18" t="s">
        <v>370</v>
      </c>
      <c r="W4" s="18"/>
      <c r="X4" s="18"/>
      <c r="Y4" s="18" t="s">
        <v>370</v>
      </c>
      <c r="Z4" s="18" t="s">
        <v>370</v>
      </c>
      <c r="AA4" s="13"/>
      <c r="AB4" s="13"/>
      <c r="AC4" s="13"/>
      <c r="AD4" s="13"/>
    </row>
    <row r="5" spans="1:30" ht="30" customHeight="1">
      <c r="A5" s="47">
        <f t="shared" ref="A5:A53" si="4">A4+1</f>
        <v>3</v>
      </c>
      <c r="B5" s="53" t="s">
        <v>458</v>
      </c>
      <c r="C5" s="53" t="s">
        <v>459</v>
      </c>
      <c r="D5" s="53" t="s">
        <v>367</v>
      </c>
      <c r="E5" s="59" t="s">
        <v>94</v>
      </c>
      <c r="F5" s="60" t="s">
        <v>95</v>
      </c>
      <c r="G5" s="60" t="s">
        <v>96</v>
      </c>
      <c r="H5" s="53" t="s">
        <v>90</v>
      </c>
      <c r="I5" s="56" t="s">
        <v>370</v>
      </c>
      <c r="J5" s="56"/>
      <c r="K5" s="56" t="s">
        <v>370</v>
      </c>
      <c r="L5" s="56" t="s">
        <v>370</v>
      </c>
      <c r="M5" s="56" t="s">
        <v>370</v>
      </c>
      <c r="N5" s="56"/>
      <c r="O5" s="13" t="s">
        <v>370</v>
      </c>
      <c r="P5" s="13" t="s">
        <v>370</v>
      </c>
      <c r="Q5" s="57" t="s">
        <v>370</v>
      </c>
      <c r="R5" s="58"/>
      <c r="S5" s="58" t="s">
        <v>370</v>
      </c>
      <c r="T5" s="58" t="s">
        <v>370</v>
      </c>
      <c r="U5" s="56" t="s">
        <v>370</v>
      </c>
      <c r="V5" s="18" t="s">
        <v>370</v>
      </c>
      <c r="W5" s="18" t="s">
        <v>370</v>
      </c>
      <c r="X5" s="18" t="s">
        <v>370</v>
      </c>
      <c r="Y5" s="18" t="s">
        <v>370</v>
      </c>
      <c r="Z5" s="18" t="s">
        <v>370</v>
      </c>
      <c r="AA5" s="13" t="s">
        <v>370</v>
      </c>
      <c r="AB5" s="13"/>
      <c r="AC5" s="13"/>
      <c r="AD5" s="13"/>
    </row>
    <row r="6" spans="1:30" ht="30" customHeight="1">
      <c r="A6" s="47">
        <f t="shared" si="4"/>
        <v>4</v>
      </c>
      <c r="B6" s="61" t="s">
        <v>463</v>
      </c>
      <c r="C6" s="61" t="s">
        <v>372</v>
      </c>
      <c r="D6" s="61" t="s">
        <v>378</v>
      </c>
      <c r="E6" s="61" t="s">
        <v>12</v>
      </c>
      <c r="F6" s="68" t="s">
        <v>13</v>
      </c>
      <c r="G6" s="61" t="s">
        <v>101</v>
      </c>
      <c r="H6" s="62" t="s">
        <v>90</v>
      </c>
      <c r="I6" s="56"/>
      <c r="J6" s="56"/>
      <c r="K6" s="56" t="s">
        <v>370</v>
      </c>
      <c r="L6" s="56"/>
      <c r="M6" s="56" t="s">
        <v>370</v>
      </c>
      <c r="N6" s="56" t="s">
        <v>370</v>
      </c>
      <c r="O6" s="13" t="s">
        <v>370</v>
      </c>
      <c r="P6" s="13" t="s">
        <v>370</v>
      </c>
      <c r="Q6" s="57" t="s">
        <v>370</v>
      </c>
      <c r="R6" s="58" t="s">
        <v>370</v>
      </c>
      <c r="S6" s="47" t="s">
        <v>370</v>
      </c>
      <c r="T6" s="58"/>
      <c r="U6" s="56" t="s">
        <v>370</v>
      </c>
      <c r="V6" s="18"/>
      <c r="W6" s="18" t="s">
        <v>370</v>
      </c>
      <c r="X6" s="18" t="s">
        <v>370</v>
      </c>
      <c r="Y6" s="18" t="s">
        <v>370</v>
      </c>
      <c r="Z6" s="18" t="s">
        <v>370</v>
      </c>
      <c r="AA6" s="13" t="s">
        <v>370</v>
      </c>
      <c r="AB6" s="13"/>
      <c r="AC6" s="13"/>
      <c r="AD6" s="13"/>
    </row>
    <row r="7" spans="1:30" ht="30" customHeight="1">
      <c r="A7" s="47">
        <f t="shared" si="4"/>
        <v>5</v>
      </c>
      <c r="B7" s="59" t="s">
        <v>532</v>
      </c>
      <c r="C7" s="59" t="s">
        <v>533</v>
      </c>
      <c r="D7" s="59" t="s">
        <v>378</v>
      </c>
      <c r="E7" s="59" t="s">
        <v>534</v>
      </c>
      <c r="F7" s="60" t="s">
        <v>535</v>
      </c>
      <c r="G7" s="63" t="s">
        <v>536</v>
      </c>
      <c r="H7" s="64" t="s">
        <v>90</v>
      </c>
      <c r="I7" s="56" t="s">
        <v>370</v>
      </c>
      <c r="J7" s="56"/>
      <c r="K7" s="56" t="s">
        <v>370</v>
      </c>
      <c r="L7" s="56" t="s">
        <v>370</v>
      </c>
      <c r="M7" s="56"/>
      <c r="N7" s="56" t="s">
        <v>370</v>
      </c>
      <c r="O7" s="13"/>
      <c r="P7" s="13"/>
      <c r="Q7" s="57"/>
      <c r="R7" s="58"/>
      <c r="S7" s="58"/>
      <c r="T7" s="58"/>
      <c r="U7" s="56"/>
      <c r="V7" s="18"/>
      <c r="W7" s="18"/>
      <c r="X7" s="18"/>
      <c r="Y7" s="18"/>
      <c r="Z7" s="18"/>
      <c r="AA7" s="13"/>
      <c r="AB7" s="13"/>
      <c r="AC7" s="13"/>
      <c r="AD7" s="13"/>
    </row>
    <row r="8" spans="1:30" ht="30" customHeight="1">
      <c r="A8" s="47">
        <f t="shared" si="4"/>
        <v>6</v>
      </c>
      <c r="B8" s="59" t="s">
        <v>399</v>
      </c>
      <c r="C8" s="59" t="s">
        <v>400</v>
      </c>
      <c r="D8" s="59" t="s">
        <v>367</v>
      </c>
      <c r="E8" s="59" t="s">
        <v>46</v>
      </c>
      <c r="F8" s="610" t="s">
        <v>765</v>
      </c>
      <c r="G8" s="611" t="s">
        <v>766</v>
      </c>
      <c r="H8" s="64" t="s">
        <v>90</v>
      </c>
      <c r="I8" s="56"/>
      <c r="J8" s="56"/>
      <c r="K8" s="56"/>
      <c r="L8" s="56"/>
      <c r="M8" s="56"/>
      <c r="N8" s="56"/>
      <c r="O8" s="13"/>
      <c r="P8" s="13"/>
      <c r="Q8" s="57"/>
      <c r="R8" s="58"/>
      <c r="S8" s="58"/>
      <c r="T8" s="58"/>
      <c r="U8" s="56"/>
      <c r="V8" s="18"/>
      <c r="W8" s="18"/>
      <c r="X8" s="18" t="s">
        <v>370</v>
      </c>
      <c r="Y8" s="18"/>
      <c r="Z8" s="18"/>
      <c r="AA8" s="13" t="s">
        <v>370</v>
      </c>
      <c r="AB8" s="13"/>
      <c r="AC8" s="13"/>
      <c r="AD8" s="13"/>
    </row>
    <row r="9" spans="1:30" ht="30" customHeight="1">
      <c r="A9" s="47">
        <f t="shared" si="4"/>
        <v>7</v>
      </c>
      <c r="B9" s="59" t="s">
        <v>538</v>
      </c>
      <c r="C9" s="59" t="s">
        <v>539</v>
      </c>
      <c r="D9" s="59" t="s">
        <v>404</v>
      </c>
      <c r="E9" s="59" t="s">
        <v>534</v>
      </c>
      <c r="F9" s="60" t="s">
        <v>535</v>
      </c>
      <c r="G9" s="63" t="s">
        <v>536</v>
      </c>
      <c r="H9" s="64" t="s">
        <v>90</v>
      </c>
      <c r="I9" s="56" t="s">
        <v>370</v>
      </c>
      <c r="J9" s="56"/>
      <c r="K9" s="56"/>
      <c r="L9" s="56"/>
      <c r="M9" s="56"/>
      <c r="N9" s="56"/>
      <c r="O9" s="13"/>
      <c r="P9" s="13"/>
      <c r="Q9" s="57"/>
      <c r="R9" s="58"/>
      <c r="S9" s="58"/>
      <c r="T9" s="58"/>
      <c r="U9" s="56"/>
      <c r="V9" s="18"/>
      <c r="W9" s="18"/>
      <c r="X9" s="18"/>
      <c r="Y9" s="18"/>
      <c r="Z9" s="18"/>
      <c r="AA9" s="13"/>
      <c r="AB9" s="635"/>
      <c r="AC9" s="13"/>
      <c r="AD9" s="13"/>
    </row>
    <row r="10" spans="1:30" ht="30" customHeight="1">
      <c r="A10" s="47">
        <f t="shared" si="4"/>
        <v>8</v>
      </c>
      <c r="B10" s="65" t="s">
        <v>505</v>
      </c>
      <c r="C10" s="65" t="s">
        <v>506</v>
      </c>
      <c r="D10" s="65" t="s">
        <v>378</v>
      </c>
      <c r="E10" s="65" t="s">
        <v>167</v>
      </c>
      <c r="F10" s="68" t="s">
        <v>507</v>
      </c>
      <c r="G10" s="65" t="s">
        <v>169</v>
      </c>
      <c r="H10" s="66" t="s">
        <v>90</v>
      </c>
      <c r="I10" s="56" t="s">
        <v>370</v>
      </c>
      <c r="J10" s="56"/>
      <c r="K10" s="56" t="s">
        <v>370</v>
      </c>
      <c r="L10" s="56"/>
      <c r="M10" s="56"/>
      <c r="N10" s="56"/>
      <c r="O10" s="13"/>
      <c r="P10" s="13"/>
      <c r="Q10" s="57"/>
      <c r="R10" s="58"/>
      <c r="S10" s="58"/>
      <c r="T10" s="58" t="s">
        <v>370</v>
      </c>
      <c r="U10" s="56"/>
      <c r="V10" s="18"/>
      <c r="W10" s="18"/>
      <c r="X10" s="18"/>
      <c r="Y10" s="18"/>
      <c r="Z10" s="18"/>
      <c r="AA10" s="13"/>
      <c r="AB10" s="13"/>
      <c r="AC10" s="13"/>
      <c r="AD10" s="13"/>
    </row>
    <row r="11" spans="1:30" ht="30" customHeight="1">
      <c r="A11" s="47">
        <f t="shared" si="4"/>
        <v>9</v>
      </c>
      <c r="B11" s="59" t="s">
        <v>479</v>
      </c>
      <c r="C11" s="59" t="s">
        <v>480</v>
      </c>
      <c r="D11" s="59" t="s">
        <v>367</v>
      </c>
      <c r="E11" s="59" t="s">
        <v>129</v>
      </c>
      <c r="F11" s="60" t="s">
        <v>130</v>
      </c>
      <c r="G11" s="59" t="s">
        <v>131</v>
      </c>
      <c r="H11" s="66" t="s">
        <v>90</v>
      </c>
      <c r="I11" s="56"/>
      <c r="J11" s="56"/>
      <c r="K11" s="56" t="s">
        <v>370</v>
      </c>
      <c r="L11" s="56" t="s">
        <v>370</v>
      </c>
      <c r="M11" s="56" t="s">
        <v>370</v>
      </c>
      <c r="N11" s="56" t="s">
        <v>370</v>
      </c>
      <c r="O11" s="13"/>
      <c r="P11" s="13"/>
      <c r="Q11" s="57"/>
      <c r="R11" s="58"/>
      <c r="S11" s="58"/>
      <c r="T11" s="58"/>
      <c r="U11" s="56" t="s">
        <v>370</v>
      </c>
      <c r="V11" s="18" t="s">
        <v>370</v>
      </c>
      <c r="W11" s="18"/>
      <c r="X11" s="18" t="s">
        <v>370</v>
      </c>
      <c r="Y11" s="18" t="s">
        <v>370</v>
      </c>
      <c r="Z11" s="18" t="s">
        <v>370</v>
      </c>
      <c r="AA11" s="13" t="s">
        <v>370</v>
      </c>
      <c r="AB11" s="13"/>
      <c r="AC11" s="13"/>
      <c r="AD11" s="13"/>
    </row>
    <row r="12" spans="1:30" ht="30" customHeight="1">
      <c r="A12" s="47">
        <f t="shared" si="4"/>
        <v>10</v>
      </c>
      <c r="B12" s="59" t="s">
        <v>469</v>
      </c>
      <c r="C12" s="59" t="s">
        <v>413</v>
      </c>
      <c r="D12" s="59" t="s">
        <v>378</v>
      </c>
      <c r="E12" s="59" t="s">
        <v>111</v>
      </c>
      <c r="F12" s="60" t="s">
        <v>112</v>
      </c>
      <c r="G12" s="59" t="s">
        <v>113</v>
      </c>
      <c r="H12" s="66" t="s">
        <v>90</v>
      </c>
      <c r="I12" s="56"/>
      <c r="J12" s="56"/>
      <c r="K12" s="56" t="s">
        <v>370</v>
      </c>
      <c r="L12" s="56" t="s">
        <v>370</v>
      </c>
      <c r="M12" s="56"/>
      <c r="N12" s="56" t="s">
        <v>370</v>
      </c>
      <c r="O12" s="13" t="s">
        <v>370</v>
      </c>
      <c r="P12" s="13" t="s">
        <v>370</v>
      </c>
      <c r="Q12" s="57" t="s">
        <v>370</v>
      </c>
      <c r="R12" s="58" t="s">
        <v>370</v>
      </c>
      <c r="S12" s="58" t="s">
        <v>370</v>
      </c>
      <c r="T12" s="58" t="s">
        <v>370</v>
      </c>
      <c r="U12" s="56" t="s">
        <v>370</v>
      </c>
      <c r="V12" s="18"/>
      <c r="W12" s="18" t="s">
        <v>370</v>
      </c>
      <c r="X12" s="18" t="s">
        <v>370</v>
      </c>
      <c r="Y12" s="18"/>
      <c r="Z12" s="18"/>
      <c r="AA12" s="13" t="s">
        <v>370</v>
      </c>
      <c r="AB12" s="13"/>
      <c r="AC12" s="13"/>
      <c r="AD12" s="13"/>
    </row>
    <row r="13" spans="1:30" ht="30" customHeight="1">
      <c r="A13" s="47">
        <f t="shared" si="4"/>
        <v>11</v>
      </c>
      <c r="B13" s="59" t="s">
        <v>485</v>
      </c>
      <c r="C13" s="59" t="s">
        <v>400</v>
      </c>
      <c r="D13" s="59" t="s">
        <v>404</v>
      </c>
      <c r="E13" s="59" t="s">
        <v>46</v>
      </c>
      <c r="F13" s="584" t="s">
        <v>47</v>
      </c>
      <c r="G13" s="60" t="s">
        <v>48</v>
      </c>
      <c r="H13" s="66" t="s">
        <v>90</v>
      </c>
      <c r="I13" s="56" t="s">
        <v>370</v>
      </c>
      <c r="J13" s="56"/>
      <c r="K13" s="56"/>
      <c r="L13" s="56"/>
      <c r="M13" s="56" t="s">
        <v>370</v>
      </c>
      <c r="N13" s="56"/>
      <c r="O13" s="13"/>
      <c r="P13" s="13"/>
      <c r="Q13" s="57"/>
      <c r="R13" s="58"/>
      <c r="S13" s="58"/>
      <c r="T13" s="58"/>
      <c r="U13" s="56"/>
      <c r="V13" s="18"/>
      <c r="W13" s="18"/>
      <c r="X13" s="18"/>
      <c r="Y13" s="18"/>
      <c r="Z13" s="18"/>
      <c r="AA13" s="13"/>
      <c r="AB13" s="13"/>
      <c r="AC13" s="13"/>
      <c r="AD13" s="13"/>
    </row>
    <row r="14" spans="1:30" ht="30" customHeight="1">
      <c r="A14" s="47">
        <f t="shared" si="4"/>
        <v>12</v>
      </c>
      <c r="B14" s="67" t="s">
        <v>477</v>
      </c>
      <c r="C14" s="67" t="s">
        <v>478</v>
      </c>
      <c r="D14" s="67" t="s">
        <v>373</v>
      </c>
      <c r="E14" s="67" t="s">
        <v>126</v>
      </c>
      <c r="F14" s="67" t="s">
        <v>127</v>
      </c>
      <c r="G14" s="67" t="s">
        <v>128</v>
      </c>
      <c r="H14" s="66" t="s">
        <v>90</v>
      </c>
      <c r="I14" s="56" t="s">
        <v>370</v>
      </c>
      <c r="J14" s="56"/>
      <c r="K14" s="56"/>
      <c r="L14" s="56" t="s">
        <v>370</v>
      </c>
      <c r="M14" s="56"/>
      <c r="N14" s="56"/>
      <c r="O14" s="13"/>
      <c r="P14" s="13"/>
      <c r="Q14" s="57"/>
      <c r="R14" s="58"/>
      <c r="S14" s="58"/>
      <c r="T14" s="58"/>
      <c r="U14" s="56"/>
      <c r="V14" s="18" t="s">
        <v>370</v>
      </c>
      <c r="W14" s="18" t="s">
        <v>370</v>
      </c>
      <c r="X14" s="18" t="s">
        <v>370</v>
      </c>
      <c r="Y14" s="18" t="s">
        <v>370</v>
      </c>
      <c r="Z14" s="18" t="s">
        <v>370</v>
      </c>
      <c r="AA14" s="13" t="s">
        <v>370</v>
      </c>
      <c r="AB14" s="13"/>
      <c r="AC14" s="13"/>
      <c r="AD14" s="13"/>
    </row>
    <row r="15" spans="1:30" ht="30" customHeight="1">
      <c r="A15" s="47">
        <f t="shared" si="4"/>
        <v>13</v>
      </c>
      <c r="B15" s="67" t="s">
        <v>385</v>
      </c>
      <c r="C15" s="67" t="s">
        <v>386</v>
      </c>
      <c r="D15" s="67"/>
      <c r="E15" s="67"/>
      <c r="F15" s="67"/>
      <c r="G15" s="67"/>
      <c r="H15" s="66" t="s">
        <v>90</v>
      </c>
      <c r="I15" s="56"/>
      <c r="J15" s="56"/>
      <c r="K15" s="56"/>
      <c r="L15" s="56"/>
      <c r="M15" s="56"/>
      <c r="N15" s="56"/>
      <c r="O15" s="13"/>
      <c r="P15" s="13"/>
      <c r="Q15" s="57"/>
      <c r="R15" s="58"/>
      <c r="S15" s="58"/>
      <c r="T15" s="58"/>
      <c r="U15" s="56"/>
      <c r="V15" s="18"/>
      <c r="W15" s="18"/>
      <c r="X15" s="18"/>
      <c r="Y15" s="18" t="s">
        <v>370</v>
      </c>
      <c r="Z15" s="18"/>
      <c r="AA15" s="13" t="s">
        <v>370</v>
      </c>
      <c r="AB15" s="13"/>
      <c r="AC15" s="13"/>
      <c r="AD15" s="13"/>
    </row>
    <row r="16" spans="1:30" ht="30" customHeight="1">
      <c r="A16" s="47">
        <f t="shared" si="4"/>
        <v>14</v>
      </c>
      <c r="B16" s="59" t="s">
        <v>484</v>
      </c>
      <c r="C16" s="59" t="s">
        <v>388</v>
      </c>
      <c r="D16" s="59" t="s">
        <v>367</v>
      </c>
      <c r="E16" s="59" t="s">
        <v>135</v>
      </c>
      <c r="F16" s="68" t="s">
        <v>136</v>
      </c>
      <c r="G16" s="60" t="s">
        <v>137</v>
      </c>
      <c r="H16" s="66" t="s">
        <v>90</v>
      </c>
      <c r="I16" s="56"/>
      <c r="J16" s="56"/>
      <c r="K16" s="56"/>
      <c r="L16" s="56"/>
      <c r="M16" s="56"/>
      <c r="N16" s="56"/>
      <c r="O16" s="13"/>
      <c r="P16" s="13"/>
      <c r="Q16" s="57"/>
      <c r="R16" s="58"/>
      <c r="S16" s="58"/>
      <c r="T16" s="58"/>
      <c r="U16" s="56"/>
      <c r="V16" s="18"/>
      <c r="W16" s="18" t="s">
        <v>370</v>
      </c>
      <c r="X16" s="18"/>
      <c r="Y16" s="18"/>
      <c r="Z16" s="18"/>
      <c r="AA16" s="13"/>
      <c r="AB16" s="13"/>
      <c r="AC16" s="13"/>
      <c r="AD16" s="13"/>
    </row>
    <row r="17" spans="1:30" ht="30" customHeight="1">
      <c r="A17" s="47">
        <f t="shared" si="4"/>
        <v>15</v>
      </c>
      <c r="B17" s="59" t="s">
        <v>497</v>
      </c>
      <c r="C17" s="59" t="s">
        <v>498</v>
      </c>
      <c r="D17" s="59" t="s">
        <v>378</v>
      </c>
      <c r="E17" s="59" t="s">
        <v>155</v>
      </c>
      <c r="F17" s="60" t="s">
        <v>156</v>
      </c>
      <c r="G17" s="59" t="s">
        <v>157</v>
      </c>
      <c r="H17" s="66" t="s">
        <v>90</v>
      </c>
      <c r="I17" s="56" t="s">
        <v>370</v>
      </c>
      <c r="J17" s="56"/>
      <c r="K17" s="56" t="s">
        <v>370</v>
      </c>
      <c r="L17" s="56" t="s">
        <v>370</v>
      </c>
      <c r="M17" s="56" t="s">
        <v>370</v>
      </c>
      <c r="N17" s="56" t="s">
        <v>370</v>
      </c>
      <c r="O17" s="13"/>
      <c r="P17" s="13"/>
      <c r="Q17" s="57"/>
      <c r="R17" s="58"/>
      <c r="S17" s="58"/>
      <c r="T17" s="58"/>
      <c r="U17" s="56" t="s">
        <v>370</v>
      </c>
      <c r="V17" s="18" t="s">
        <v>370</v>
      </c>
      <c r="W17" s="18"/>
      <c r="X17" s="18" t="s">
        <v>370</v>
      </c>
      <c r="Y17" s="18" t="s">
        <v>370</v>
      </c>
      <c r="Z17" s="18"/>
      <c r="AA17" s="13" t="s">
        <v>370</v>
      </c>
      <c r="AB17" s="13"/>
      <c r="AC17" s="13"/>
      <c r="AD17" s="13"/>
    </row>
    <row r="18" spans="1:30" ht="30" customHeight="1">
      <c r="A18" s="47">
        <f t="shared" si="4"/>
        <v>16</v>
      </c>
      <c r="B18" s="59" t="s">
        <v>540</v>
      </c>
      <c r="C18" s="59" t="s">
        <v>541</v>
      </c>
      <c r="D18" s="59" t="s">
        <v>378</v>
      </c>
      <c r="E18" s="59" t="s">
        <v>542</v>
      </c>
      <c r="F18" s="59" t="s">
        <v>543</v>
      </c>
      <c r="G18" s="60" t="s">
        <v>544</v>
      </c>
      <c r="H18" s="66" t="s">
        <v>90</v>
      </c>
      <c r="I18" s="56" t="s">
        <v>370</v>
      </c>
      <c r="J18" s="56"/>
      <c r="K18" s="56" t="s">
        <v>370</v>
      </c>
      <c r="L18" s="56"/>
      <c r="M18" s="56"/>
      <c r="N18" s="56"/>
      <c r="O18" s="13"/>
      <c r="P18" s="13" t="s">
        <v>370</v>
      </c>
      <c r="Q18" s="57"/>
      <c r="R18" s="58"/>
      <c r="S18" s="58"/>
      <c r="T18" s="58"/>
      <c r="U18" s="56" t="s">
        <v>370</v>
      </c>
      <c r="V18" s="18"/>
      <c r="W18" s="18"/>
      <c r="X18" s="18" t="s">
        <v>370</v>
      </c>
      <c r="Y18" s="18"/>
      <c r="Z18" s="18"/>
      <c r="AA18" s="13"/>
      <c r="AB18" s="13"/>
      <c r="AC18" s="13"/>
      <c r="AD18" s="13"/>
    </row>
    <row r="19" spans="1:30" ht="30" customHeight="1">
      <c r="A19" s="47">
        <f t="shared" si="4"/>
        <v>17</v>
      </c>
      <c r="B19" s="59" t="s">
        <v>483</v>
      </c>
      <c r="C19" s="59" t="s">
        <v>396</v>
      </c>
      <c r="D19" s="59" t="s">
        <v>378</v>
      </c>
      <c r="E19" s="59" t="s">
        <v>40</v>
      </c>
      <c r="F19" s="60" t="s">
        <v>41</v>
      </c>
      <c r="G19" s="60" t="s">
        <v>42</v>
      </c>
      <c r="H19" s="66" t="s">
        <v>90</v>
      </c>
      <c r="I19" s="56"/>
      <c r="J19" s="56"/>
      <c r="K19" s="56" t="s">
        <v>370</v>
      </c>
      <c r="L19" s="56"/>
      <c r="M19" s="56"/>
      <c r="N19" s="56"/>
      <c r="O19" s="13"/>
      <c r="P19" s="13"/>
      <c r="Q19" s="57"/>
      <c r="R19" s="58"/>
      <c r="S19" s="58"/>
      <c r="T19" s="58"/>
      <c r="U19" s="56"/>
      <c r="V19" s="18" t="s">
        <v>370</v>
      </c>
      <c r="W19" s="18"/>
      <c r="X19" s="18"/>
      <c r="Y19" s="18"/>
      <c r="Z19" s="18"/>
      <c r="AA19" s="13"/>
      <c r="AB19" s="13"/>
      <c r="AC19" s="13"/>
      <c r="AD19" s="13"/>
    </row>
    <row r="20" spans="1:30" ht="30" customHeight="1">
      <c r="A20" s="47">
        <f t="shared" si="4"/>
        <v>18</v>
      </c>
      <c r="B20" s="59" t="s">
        <v>552</v>
      </c>
      <c r="C20" s="59"/>
      <c r="D20" s="59"/>
      <c r="E20" s="59"/>
      <c r="F20" s="59"/>
      <c r="G20" s="59"/>
      <c r="H20" s="66" t="s">
        <v>90</v>
      </c>
      <c r="I20" s="56"/>
      <c r="J20" s="56"/>
      <c r="K20" s="56"/>
      <c r="L20" s="56"/>
      <c r="M20" s="56"/>
      <c r="N20" s="56"/>
      <c r="O20" s="13"/>
      <c r="P20" s="13"/>
      <c r="Q20" s="57"/>
      <c r="R20" s="58" t="s">
        <v>370</v>
      </c>
      <c r="S20" s="58" t="s">
        <v>370</v>
      </c>
      <c r="T20" s="58" t="s">
        <v>370</v>
      </c>
      <c r="U20" s="56"/>
      <c r="V20" s="18" t="s">
        <v>370</v>
      </c>
      <c r="W20" s="18"/>
      <c r="X20" s="18" t="s">
        <v>370</v>
      </c>
      <c r="Y20" s="18" t="s">
        <v>370</v>
      </c>
      <c r="Z20" s="18" t="s">
        <v>370</v>
      </c>
      <c r="AA20" s="13"/>
      <c r="AB20" s="13"/>
      <c r="AC20" s="13"/>
      <c r="AD20" s="13"/>
    </row>
    <row r="21" spans="1:30" ht="30" customHeight="1">
      <c r="A21" s="47">
        <f t="shared" si="4"/>
        <v>19</v>
      </c>
      <c r="B21" s="59" t="s">
        <v>762</v>
      </c>
      <c r="C21" s="59" t="s">
        <v>413</v>
      </c>
      <c r="D21" s="59" t="s">
        <v>373</v>
      </c>
      <c r="E21" s="59" t="s">
        <v>65</v>
      </c>
      <c r="F21" s="68" t="s">
        <v>66</v>
      </c>
      <c r="G21" s="59" t="s">
        <v>763</v>
      </c>
      <c r="H21" s="66" t="s">
        <v>90</v>
      </c>
      <c r="I21" s="56"/>
      <c r="J21" s="56"/>
      <c r="K21" s="56"/>
      <c r="L21" s="56"/>
      <c r="M21" s="56"/>
      <c r="N21" s="56"/>
      <c r="O21" s="13"/>
      <c r="P21" s="13"/>
      <c r="Q21" s="57"/>
      <c r="R21" s="58"/>
      <c r="S21" s="58"/>
      <c r="T21" s="58"/>
      <c r="U21" s="56"/>
      <c r="V21" s="18"/>
      <c r="W21" s="18" t="s">
        <v>370</v>
      </c>
      <c r="X21" s="18" t="s">
        <v>370</v>
      </c>
      <c r="Y21" s="18"/>
      <c r="Z21" s="18" t="s">
        <v>370</v>
      </c>
      <c r="AA21" s="13" t="s">
        <v>370</v>
      </c>
      <c r="AB21" s="13"/>
      <c r="AC21" s="13"/>
      <c r="AD21" s="13"/>
    </row>
    <row r="22" spans="1:30" ht="30" customHeight="1">
      <c r="A22" s="47">
        <f t="shared" si="4"/>
        <v>20</v>
      </c>
      <c r="B22" s="59" t="s">
        <v>501</v>
      </c>
      <c r="C22" s="59" t="s">
        <v>502</v>
      </c>
      <c r="D22" s="59" t="s">
        <v>378</v>
      </c>
      <c r="E22" s="59" t="s">
        <v>161</v>
      </c>
      <c r="F22" s="60" t="s">
        <v>162</v>
      </c>
      <c r="G22" s="60" t="s">
        <v>163</v>
      </c>
      <c r="H22" s="66" t="s">
        <v>90</v>
      </c>
      <c r="I22" s="56"/>
      <c r="J22" s="56"/>
      <c r="K22" s="56"/>
      <c r="L22" s="56" t="s">
        <v>370</v>
      </c>
      <c r="M22" s="56" t="s">
        <v>370</v>
      </c>
      <c r="N22" s="56" t="s">
        <v>370</v>
      </c>
      <c r="O22" s="13" t="s">
        <v>370</v>
      </c>
      <c r="P22" s="13" t="s">
        <v>370</v>
      </c>
      <c r="Q22" s="57" t="s">
        <v>370</v>
      </c>
      <c r="R22" s="58"/>
      <c r="S22" s="58"/>
      <c r="T22" s="58"/>
      <c r="U22" s="56"/>
      <c r="V22" s="18"/>
      <c r="W22" s="18"/>
      <c r="X22" s="18"/>
      <c r="Y22" s="18"/>
      <c r="Z22" s="18"/>
      <c r="AA22" s="13"/>
      <c r="AB22" s="13"/>
      <c r="AC22" s="13"/>
      <c r="AD22" s="13"/>
    </row>
    <row r="23" spans="1:30" ht="30" customHeight="1">
      <c r="A23" s="47">
        <f t="shared" si="4"/>
        <v>21</v>
      </c>
      <c r="B23" s="67" t="s">
        <v>759</v>
      </c>
      <c r="C23" s="67" t="s">
        <v>758</v>
      </c>
      <c r="D23" s="67" t="s">
        <v>367</v>
      </c>
      <c r="E23" s="67" t="s">
        <v>780</v>
      </c>
      <c r="F23" s="621" t="s">
        <v>778</v>
      </c>
      <c r="G23" s="63" t="s">
        <v>779</v>
      </c>
      <c r="H23" s="66" t="s">
        <v>90</v>
      </c>
      <c r="I23" s="56" t="s">
        <v>370</v>
      </c>
      <c r="J23" s="56"/>
      <c r="K23" s="56" t="s">
        <v>370</v>
      </c>
      <c r="L23" s="56"/>
      <c r="M23" s="56"/>
      <c r="N23" s="56"/>
      <c r="O23" s="13"/>
      <c r="P23" s="13"/>
      <c r="Q23" s="57"/>
      <c r="R23" s="58"/>
      <c r="S23" s="58"/>
      <c r="T23" s="58" t="s">
        <v>370</v>
      </c>
      <c r="U23" s="56" t="s">
        <v>370</v>
      </c>
      <c r="W23" s="18" t="s">
        <v>370</v>
      </c>
      <c r="X23" s="18" t="s">
        <v>370</v>
      </c>
      <c r="Y23" s="18" t="s">
        <v>370</v>
      </c>
      <c r="Z23" s="18" t="s">
        <v>370</v>
      </c>
      <c r="AA23" s="13" t="s">
        <v>370</v>
      </c>
      <c r="AB23" s="13"/>
      <c r="AC23" s="13"/>
      <c r="AD23" s="13"/>
    </row>
    <row r="24" spans="1:30" ht="30" customHeight="1">
      <c r="A24" s="47">
        <f t="shared" si="4"/>
        <v>22</v>
      </c>
      <c r="B24" s="59" t="s">
        <v>554</v>
      </c>
      <c r="C24" s="59"/>
      <c r="D24" s="59"/>
      <c r="E24" s="59"/>
      <c r="F24" s="59"/>
      <c r="G24" s="59"/>
      <c r="H24" s="66" t="s">
        <v>90</v>
      </c>
      <c r="I24" s="56"/>
      <c r="J24" s="56"/>
      <c r="K24" s="56"/>
      <c r="L24" s="56"/>
      <c r="M24" s="56"/>
      <c r="N24" s="56"/>
      <c r="O24" s="13"/>
      <c r="P24" s="13"/>
      <c r="Q24" s="57"/>
      <c r="R24" s="58"/>
      <c r="S24" s="58"/>
      <c r="T24" s="58" t="s">
        <v>370</v>
      </c>
      <c r="U24" s="56"/>
      <c r="V24" s="18" t="s">
        <v>370</v>
      </c>
      <c r="W24" s="18"/>
      <c r="X24" s="18"/>
      <c r="Y24" s="18"/>
      <c r="Z24" s="18"/>
      <c r="AA24" s="13"/>
      <c r="AB24" s="13"/>
      <c r="AC24" s="13"/>
      <c r="AD24" s="13"/>
    </row>
    <row r="25" spans="1:30" ht="30" customHeight="1">
      <c r="A25" s="47">
        <f t="shared" si="4"/>
        <v>23</v>
      </c>
      <c r="B25" s="59" t="s">
        <v>547</v>
      </c>
      <c r="C25" s="59" t="s">
        <v>548</v>
      </c>
      <c r="D25" s="59" t="s">
        <v>404</v>
      </c>
      <c r="E25" s="64" t="s">
        <v>549</v>
      </c>
      <c r="F25" s="605" t="s">
        <v>550</v>
      </c>
      <c r="G25" s="71"/>
      <c r="H25" s="66" t="s">
        <v>90</v>
      </c>
      <c r="I25" s="56"/>
      <c r="J25" s="56"/>
      <c r="K25" s="56"/>
      <c r="L25" s="56"/>
      <c r="M25" s="56"/>
      <c r="N25" s="72" t="s">
        <v>370</v>
      </c>
      <c r="O25" s="13" t="s">
        <v>370</v>
      </c>
      <c r="P25" s="13"/>
      <c r="Q25" s="57"/>
      <c r="R25" s="58"/>
      <c r="S25" s="58"/>
      <c r="T25" s="58"/>
      <c r="U25" s="56"/>
      <c r="V25" s="18"/>
      <c r="W25" s="18"/>
      <c r="X25" s="18"/>
      <c r="Y25" s="18"/>
      <c r="Z25" s="18"/>
      <c r="AA25" s="13"/>
      <c r="AB25" s="13"/>
      <c r="AC25" s="13"/>
      <c r="AD25" s="13"/>
    </row>
    <row r="26" spans="1:30" ht="30" customHeight="1">
      <c r="A26" s="47">
        <f t="shared" si="4"/>
        <v>24</v>
      </c>
      <c r="B26" s="67" t="s">
        <v>454</v>
      </c>
      <c r="C26" s="67" t="s">
        <v>375</v>
      </c>
      <c r="D26" s="67" t="s">
        <v>367</v>
      </c>
      <c r="E26" s="73" t="s">
        <v>15</v>
      </c>
      <c r="F26" s="615" t="s">
        <v>16</v>
      </c>
      <c r="G26" s="74" t="s">
        <v>89</v>
      </c>
      <c r="H26" s="66" t="s">
        <v>90</v>
      </c>
      <c r="I26" s="56" t="s">
        <v>370</v>
      </c>
      <c r="J26" s="56"/>
      <c r="K26" s="56"/>
      <c r="L26" s="56"/>
      <c r="M26" s="56"/>
      <c r="N26" s="56"/>
      <c r="O26" s="13"/>
      <c r="P26" s="13"/>
      <c r="Q26" s="57"/>
      <c r="R26" s="58"/>
      <c r="S26" s="58"/>
      <c r="T26" s="58" t="s">
        <v>370</v>
      </c>
      <c r="U26" s="56" t="s">
        <v>370</v>
      </c>
      <c r="V26" s="18" t="s">
        <v>370</v>
      </c>
      <c r="W26" s="18"/>
      <c r="X26" s="18"/>
      <c r="Y26" s="18"/>
      <c r="Z26" s="18"/>
      <c r="AA26" s="13"/>
      <c r="AB26" s="13"/>
      <c r="AC26" s="13"/>
      <c r="AD26" s="13"/>
    </row>
    <row r="27" spans="1:30" ht="30" customHeight="1">
      <c r="A27" s="47">
        <f t="shared" si="4"/>
        <v>25</v>
      </c>
      <c r="B27" s="59" t="s">
        <v>481</v>
      </c>
      <c r="C27" s="59" t="s">
        <v>482</v>
      </c>
      <c r="D27" s="59" t="s">
        <v>367</v>
      </c>
      <c r="E27" s="59" t="s">
        <v>132</v>
      </c>
      <c r="F27" s="60" t="s">
        <v>133</v>
      </c>
      <c r="G27" s="75" t="s">
        <v>134</v>
      </c>
      <c r="H27" s="66" t="s">
        <v>90</v>
      </c>
      <c r="I27" s="56" t="s">
        <v>370</v>
      </c>
      <c r="J27" s="56"/>
      <c r="K27" s="56" t="s">
        <v>370</v>
      </c>
      <c r="L27" s="56" t="s">
        <v>370</v>
      </c>
      <c r="M27" s="56"/>
      <c r="N27" s="56" t="s">
        <v>370</v>
      </c>
      <c r="O27" s="13"/>
      <c r="P27" s="13"/>
      <c r="Q27" s="57"/>
      <c r="R27" s="58"/>
      <c r="S27" s="58"/>
      <c r="T27" s="58"/>
      <c r="U27" s="56"/>
      <c r="V27" s="18"/>
      <c r="W27" s="18" t="s">
        <v>370</v>
      </c>
      <c r="X27" s="18" t="s">
        <v>370</v>
      </c>
      <c r="Y27" s="18" t="s">
        <v>370</v>
      </c>
      <c r="Z27" s="18" t="s">
        <v>370</v>
      </c>
      <c r="AA27" s="13" t="s">
        <v>370</v>
      </c>
      <c r="AB27" s="13"/>
      <c r="AC27" s="13"/>
      <c r="AD27" s="13"/>
    </row>
    <row r="28" spans="1:30" ht="30" customHeight="1">
      <c r="A28" s="47">
        <f t="shared" si="4"/>
        <v>26</v>
      </c>
      <c r="B28" s="59" t="s">
        <v>528</v>
      </c>
      <c r="C28" s="59" t="s">
        <v>375</v>
      </c>
      <c r="D28" s="59" t="s">
        <v>404</v>
      </c>
      <c r="E28" s="59" t="s">
        <v>529</v>
      </c>
      <c r="F28" s="59" t="s">
        <v>530</v>
      </c>
      <c r="G28" s="60" t="s">
        <v>531</v>
      </c>
      <c r="H28" s="66" t="s">
        <v>90</v>
      </c>
      <c r="I28" s="56"/>
      <c r="J28" s="56"/>
      <c r="K28" s="56" t="s">
        <v>370</v>
      </c>
      <c r="L28" s="56" t="s">
        <v>370</v>
      </c>
      <c r="M28" s="56"/>
      <c r="N28" s="56" t="s">
        <v>370</v>
      </c>
      <c r="O28" s="13" t="s">
        <v>370</v>
      </c>
      <c r="P28" s="13"/>
      <c r="Q28" s="57"/>
      <c r="R28" s="58" t="s">
        <v>370</v>
      </c>
      <c r="S28" s="58" t="s">
        <v>370</v>
      </c>
      <c r="T28" s="58"/>
      <c r="U28" s="56" t="s">
        <v>370</v>
      </c>
      <c r="V28" s="18"/>
      <c r="W28" s="18"/>
      <c r="X28" s="18"/>
      <c r="Y28" s="18"/>
      <c r="Z28" s="18"/>
      <c r="AA28" s="13"/>
      <c r="AB28" s="13"/>
      <c r="AC28" s="13"/>
      <c r="AD28" s="13"/>
    </row>
    <row r="29" spans="1:30" ht="30" customHeight="1">
      <c r="A29" s="47">
        <f t="shared" si="4"/>
        <v>27</v>
      </c>
      <c r="B29" s="59" t="s">
        <v>774</v>
      </c>
      <c r="C29" s="59" t="s">
        <v>775</v>
      </c>
      <c r="D29" s="59"/>
      <c r="E29" s="59"/>
      <c r="F29" s="59"/>
      <c r="G29" s="60"/>
      <c r="H29" s="66" t="s">
        <v>90</v>
      </c>
      <c r="I29" s="56"/>
      <c r="J29" s="56"/>
      <c r="K29" s="56"/>
      <c r="L29" s="56"/>
      <c r="M29" s="56"/>
      <c r="N29" s="56"/>
      <c r="O29" s="13"/>
      <c r="P29" s="13"/>
      <c r="Q29" s="57"/>
      <c r="R29" s="58"/>
      <c r="S29" s="58"/>
      <c r="T29" s="58"/>
      <c r="U29" s="56"/>
      <c r="V29" s="18"/>
      <c r="W29" s="18"/>
      <c r="X29" s="18"/>
      <c r="Y29" s="18" t="s">
        <v>370</v>
      </c>
      <c r="Z29" s="18"/>
      <c r="AA29" s="13"/>
      <c r="AB29" s="13"/>
      <c r="AC29" s="13"/>
      <c r="AD29" s="13"/>
    </row>
    <row r="30" spans="1:30" ht="30" customHeight="1">
      <c r="A30" s="47">
        <f t="shared" si="4"/>
        <v>28</v>
      </c>
      <c r="B30" s="59" t="s">
        <v>526</v>
      </c>
      <c r="C30" s="59"/>
      <c r="D30" s="59"/>
      <c r="E30" s="59"/>
      <c r="F30" s="59"/>
      <c r="G30" s="59"/>
      <c r="H30" s="66" t="s">
        <v>90</v>
      </c>
      <c r="I30" s="56"/>
      <c r="J30" s="56"/>
      <c r="K30" s="56"/>
      <c r="L30" s="56"/>
      <c r="M30" s="56"/>
      <c r="N30" s="56"/>
      <c r="O30" s="13"/>
      <c r="P30" s="13"/>
      <c r="Q30" s="57"/>
      <c r="R30" s="58"/>
      <c r="S30" s="58"/>
      <c r="T30" s="58"/>
      <c r="U30" s="56"/>
      <c r="V30" s="18"/>
      <c r="W30" s="18"/>
      <c r="X30" s="18"/>
      <c r="Y30" s="18"/>
      <c r="Z30" s="18"/>
      <c r="AA30" s="13"/>
      <c r="AB30" s="13"/>
      <c r="AC30" s="13"/>
      <c r="AD30" s="13"/>
    </row>
    <row r="31" spans="1:30" ht="30" customHeight="1">
      <c r="A31" s="47">
        <f t="shared" si="4"/>
        <v>29</v>
      </c>
      <c r="B31" s="76" t="s">
        <v>546</v>
      </c>
      <c r="C31" s="76" t="s">
        <v>446</v>
      </c>
      <c r="D31" s="59" t="s">
        <v>378</v>
      </c>
      <c r="E31" s="77" t="s">
        <v>447</v>
      </c>
      <c r="F31" s="76" t="s">
        <v>448</v>
      </c>
      <c r="G31" s="78" t="s">
        <v>449</v>
      </c>
      <c r="H31" s="66" t="s">
        <v>90</v>
      </c>
      <c r="I31" s="56"/>
      <c r="J31" s="56"/>
      <c r="K31" s="56" t="s">
        <v>370</v>
      </c>
      <c r="L31" s="56" t="s">
        <v>370</v>
      </c>
      <c r="M31" s="56" t="s">
        <v>370</v>
      </c>
      <c r="N31" s="56" t="s">
        <v>370</v>
      </c>
      <c r="O31" s="13" t="s">
        <v>370</v>
      </c>
      <c r="P31" s="13" t="s">
        <v>370</v>
      </c>
      <c r="Q31" s="57"/>
      <c r="R31" s="58" t="s">
        <v>370</v>
      </c>
      <c r="S31" s="58" t="s">
        <v>370</v>
      </c>
      <c r="T31" s="58"/>
      <c r="U31" s="56" t="s">
        <v>370</v>
      </c>
      <c r="V31" s="18"/>
      <c r="W31" s="18"/>
      <c r="X31" s="18"/>
      <c r="Y31" s="18"/>
      <c r="Z31" s="18"/>
      <c r="AA31" s="13"/>
      <c r="AB31" s="13"/>
      <c r="AC31" s="13"/>
      <c r="AD31" s="13"/>
    </row>
    <row r="32" spans="1:30" ht="30" customHeight="1">
      <c r="A32" s="47">
        <f t="shared" si="4"/>
        <v>30</v>
      </c>
      <c r="B32" s="59" t="s">
        <v>545</v>
      </c>
      <c r="C32" s="59"/>
      <c r="D32" s="59"/>
      <c r="E32" s="59"/>
      <c r="F32" s="59"/>
      <c r="G32" s="59"/>
      <c r="H32" s="66" t="s">
        <v>90</v>
      </c>
      <c r="I32" s="56"/>
      <c r="J32" s="56"/>
      <c r="K32" s="56" t="s">
        <v>370</v>
      </c>
      <c r="L32" s="56"/>
      <c r="M32" s="56"/>
      <c r="N32" s="56"/>
      <c r="O32" s="13"/>
      <c r="P32" s="13"/>
      <c r="Q32" s="57"/>
      <c r="R32" s="58"/>
      <c r="S32" s="58"/>
      <c r="T32" s="58"/>
      <c r="U32" s="56"/>
      <c r="V32" s="18"/>
      <c r="W32" s="18"/>
      <c r="X32" s="18"/>
      <c r="Y32" s="18"/>
      <c r="Z32" s="18" t="s">
        <v>370</v>
      </c>
      <c r="AA32" s="13"/>
      <c r="AB32" s="13"/>
      <c r="AC32" s="13"/>
      <c r="AD32" s="13"/>
    </row>
    <row r="33" spans="1:30" ht="30" customHeight="1">
      <c r="A33" s="47">
        <f t="shared" si="4"/>
        <v>31</v>
      </c>
      <c r="B33" s="67" t="s">
        <v>456</v>
      </c>
      <c r="C33" s="67" t="s">
        <v>457</v>
      </c>
      <c r="D33" s="67" t="s">
        <v>367</v>
      </c>
      <c r="E33" s="67" t="s">
        <v>91</v>
      </c>
      <c r="F33" s="67" t="s">
        <v>92</v>
      </c>
      <c r="G33" s="59" t="s">
        <v>93</v>
      </c>
      <c r="H33" s="66" t="s">
        <v>90</v>
      </c>
      <c r="I33" s="56" t="s">
        <v>370</v>
      </c>
      <c r="J33" s="56"/>
      <c r="K33" s="56" t="s">
        <v>370</v>
      </c>
      <c r="L33" s="56" t="s">
        <v>370</v>
      </c>
      <c r="M33" s="56"/>
      <c r="N33" s="56"/>
      <c r="O33" s="13"/>
      <c r="P33" s="13" t="s">
        <v>370</v>
      </c>
      <c r="Q33" s="57"/>
      <c r="R33" s="58" t="s">
        <v>370</v>
      </c>
      <c r="S33" s="58" t="s">
        <v>370</v>
      </c>
      <c r="T33" s="58" t="s">
        <v>370</v>
      </c>
      <c r="U33" s="56" t="s">
        <v>370</v>
      </c>
      <c r="V33" s="18" t="s">
        <v>370</v>
      </c>
      <c r="W33" s="18"/>
      <c r="X33" s="18"/>
      <c r="Y33" s="18"/>
      <c r="Z33" s="18"/>
      <c r="AA33" s="13"/>
      <c r="AB33" s="13"/>
      <c r="AC33" s="13"/>
      <c r="AD33" s="13"/>
    </row>
    <row r="34" spans="1:30" ht="30" customHeight="1">
      <c r="A34" s="47">
        <f t="shared" si="4"/>
        <v>32</v>
      </c>
      <c r="B34" s="59" t="s">
        <v>495</v>
      </c>
      <c r="C34" s="59" t="s">
        <v>496</v>
      </c>
      <c r="D34" s="59" t="s">
        <v>404</v>
      </c>
      <c r="E34" s="59" t="s">
        <v>152</v>
      </c>
      <c r="F34" s="585" t="s">
        <v>153</v>
      </c>
      <c r="G34" s="75" t="s">
        <v>154</v>
      </c>
      <c r="H34" s="66" t="s">
        <v>90</v>
      </c>
      <c r="I34" s="56" t="s">
        <v>370</v>
      </c>
      <c r="J34" s="56"/>
      <c r="K34" s="56" t="s">
        <v>370</v>
      </c>
      <c r="L34" s="56"/>
      <c r="M34" s="56" t="s">
        <v>370</v>
      </c>
      <c r="N34" s="56"/>
      <c r="O34" s="13"/>
      <c r="P34" s="13"/>
      <c r="Q34" s="57"/>
      <c r="R34" s="58"/>
      <c r="S34" s="58"/>
      <c r="T34" s="58"/>
      <c r="U34" s="56"/>
      <c r="V34" s="18"/>
      <c r="W34" s="18"/>
      <c r="X34" s="18"/>
      <c r="Y34" s="18"/>
      <c r="Z34" s="18"/>
      <c r="AA34" s="13"/>
      <c r="AB34" s="13"/>
      <c r="AC34" s="13"/>
      <c r="AD34" s="13"/>
    </row>
    <row r="35" spans="1:30" ht="30" customHeight="1">
      <c r="A35" s="47">
        <f t="shared" si="4"/>
        <v>33</v>
      </c>
      <c r="B35" s="59" t="s">
        <v>476</v>
      </c>
      <c r="C35" s="59" t="s">
        <v>471</v>
      </c>
      <c r="D35" s="59" t="s">
        <v>378</v>
      </c>
      <c r="E35" s="59" t="s">
        <v>123</v>
      </c>
      <c r="F35" s="60" t="s">
        <v>124</v>
      </c>
      <c r="G35" s="64" t="s">
        <v>125</v>
      </c>
      <c r="H35" s="66" t="s">
        <v>90</v>
      </c>
      <c r="I35" s="56"/>
      <c r="J35" s="56"/>
      <c r="K35" s="56"/>
      <c r="L35" s="56"/>
      <c r="M35" s="56"/>
      <c r="N35" s="56"/>
      <c r="O35" s="13"/>
      <c r="P35" s="13"/>
      <c r="Q35" s="57"/>
      <c r="R35" s="58"/>
      <c r="S35" s="58"/>
      <c r="T35" s="58"/>
      <c r="U35" s="56"/>
      <c r="V35" s="18"/>
      <c r="W35" s="18"/>
      <c r="X35" s="18"/>
      <c r="Y35" s="18"/>
      <c r="Z35" s="18"/>
      <c r="AA35" s="13"/>
      <c r="AB35" s="13"/>
      <c r="AC35" s="13"/>
      <c r="AD35" s="13"/>
    </row>
    <row r="36" spans="1:30" ht="30" customHeight="1">
      <c r="A36" s="47">
        <f t="shared" si="4"/>
        <v>34</v>
      </c>
      <c r="B36" s="59" t="s">
        <v>514</v>
      </c>
      <c r="C36" s="59" t="s">
        <v>462</v>
      </c>
      <c r="D36" s="59" t="s">
        <v>378</v>
      </c>
      <c r="E36" s="59" t="s">
        <v>179</v>
      </c>
      <c r="F36" s="59" t="s">
        <v>180</v>
      </c>
      <c r="G36" s="64" t="s">
        <v>181</v>
      </c>
      <c r="H36" s="66" t="s">
        <v>90</v>
      </c>
      <c r="I36" s="56" t="s">
        <v>370</v>
      </c>
      <c r="J36" s="56"/>
      <c r="K36" s="56" t="s">
        <v>370</v>
      </c>
      <c r="L36" s="56" t="s">
        <v>370</v>
      </c>
      <c r="M36" s="56" t="s">
        <v>370</v>
      </c>
      <c r="N36" s="56" t="s">
        <v>370</v>
      </c>
      <c r="O36" s="13" t="s">
        <v>370</v>
      </c>
      <c r="P36" s="13"/>
      <c r="Q36" s="57" t="s">
        <v>370</v>
      </c>
      <c r="R36" s="58"/>
      <c r="S36" s="58"/>
      <c r="T36" s="58"/>
      <c r="U36" s="56"/>
      <c r="V36" s="18"/>
      <c r="W36" s="18"/>
      <c r="X36" s="18"/>
      <c r="Y36" s="18"/>
      <c r="Z36" s="18"/>
      <c r="AA36" s="13"/>
      <c r="AB36" s="13"/>
      <c r="AC36" s="13"/>
      <c r="AD36" s="13"/>
    </row>
    <row r="37" spans="1:30" ht="30" customHeight="1">
      <c r="A37" s="47">
        <f t="shared" si="4"/>
        <v>35</v>
      </c>
      <c r="B37" s="59" t="s">
        <v>415</v>
      </c>
      <c r="C37" s="59" t="s">
        <v>372</v>
      </c>
      <c r="D37" s="59" t="s">
        <v>378</v>
      </c>
      <c r="E37" s="59" t="s">
        <v>12</v>
      </c>
      <c r="F37" s="59" t="s">
        <v>64</v>
      </c>
      <c r="G37" s="552" t="s">
        <v>14</v>
      </c>
      <c r="H37" s="66" t="s">
        <v>90</v>
      </c>
      <c r="I37" s="56" t="s">
        <v>370</v>
      </c>
      <c r="J37" s="56"/>
      <c r="K37" s="56"/>
      <c r="L37" s="56"/>
      <c r="M37" s="56" t="s">
        <v>370</v>
      </c>
      <c r="N37" s="56" t="s">
        <v>370</v>
      </c>
      <c r="O37" s="13"/>
      <c r="P37" s="13"/>
      <c r="Q37" s="57"/>
      <c r="R37" s="58"/>
      <c r="S37" s="58" t="s">
        <v>370</v>
      </c>
      <c r="T37" s="58"/>
      <c r="U37" s="56" t="s">
        <v>370</v>
      </c>
      <c r="V37" s="18" t="s">
        <v>370</v>
      </c>
      <c r="W37" s="18"/>
      <c r="X37" s="18" t="s">
        <v>370</v>
      </c>
      <c r="Y37" s="18"/>
      <c r="Z37" s="18"/>
      <c r="AA37" s="13" t="s">
        <v>370</v>
      </c>
      <c r="AB37" s="13"/>
      <c r="AC37" s="13"/>
      <c r="AD37" s="13"/>
    </row>
    <row r="38" spans="1:30" ht="30" customHeight="1">
      <c r="A38" s="47">
        <f t="shared" si="4"/>
        <v>36</v>
      </c>
      <c r="B38" s="59" t="s">
        <v>537</v>
      </c>
      <c r="C38" s="59" t="s">
        <v>533</v>
      </c>
      <c r="D38" s="59" t="s">
        <v>404</v>
      </c>
      <c r="E38" s="59" t="s">
        <v>534</v>
      </c>
      <c r="F38" s="60" t="s">
        <v>535</v>
      </c>
      <c r="G38" s="79" t="s">
        <v>536</v>
      </c>
      <c r="H38" s="66" t="s">
        <v>90</v>
      </c>
      <c r="I38" s="56" t="s">
        <v>370</v>
      </c>
      <c r="J38" s="56"/>
      <c r="K38" s="56" t="s">
        <v>370</v>
      </c>
      <c r="L38" s="56"/>
      <c r="M38" s="56"/>
      <c r="N38" s="56" t="s">
        <v>370</v>
      </c>
      <c r="O38" s="13"/>
      <c r="P38" s="13"/>
      <c r="Q38" s="57"/>
      <c r="R38" s="58"/>
      <c r="S38" s="58"/>
      <c r="T38" s="58"/>
      <c r="U38" s="56"/>
      <c r="V38" s="18"/>
      <c r="W38" s="18"/>
      <c r="X38" s="18"/>
      <c r="Y38" s="18"/>
      <c r="Z38" s="18"/>
      <c r="AA38" s="13"/>
      <c r="AB38" s="13"/>
      <c r="AC38" s="13"/>
      <c r="AD38" s="13"/>
    </row>
    <row r="39" spans="1:30" ht="30" customHeight="1">
      <c r="A39" s="47">
        <f t="shared" si="4"/>
        <v>37</v>
      </c>
      <c r="B39" s="59" t="s">
        <v>524</v>
      </c>
      <c r="C39" s="59"/>
      <c r="D39" s="59"/>
      <c r="E39" s="59"/>
      <c r="F39" s="59"/>
      <c r="G39" s="64"/>
      <c r="H39" s="66" t="s">
        <v>90</v>
      </c>
      <c r="I39" s="56"/>
      <c r="J39" s="56"/>
      <c r="K39" s="56" t="s">
        <v>370</v>
      </c>
      <c r="L39" s="56"/>
      <c r="M39" s="56"/>
      <c r="N39" s="56"/>
      <c r="O39" s="13"/>
      <c r="P39" s="13"/>
      <c r="Q39" s="57"/>
      <c r="R39" s="58"/>
      <c r="S39" s="58"/>
      <c r="T39" s="58"/>
      <c r="U39" s="56"/>
      <c r="V39" s="18"/>
      <c r="W39" s="18" t="s">
        <v>370</v>
      </c>
      <c r="X39" s="18"/>
      <c r="Y39" s="18"/>
      <c r="Z39" s="18"/>
      <c r="AA39" s="13"/>
      <c r="AB39" s="13"/>
      <c r="AC39" s="13"/>
      <c r="AD39" s="13"/>
    </row>
    <row r="40" spans="1:30" ht="30" customHeight="1">
      <c r="A40" s="47">
        <f t="shared" si="4"/>
        <v>38</v>
      </c>
      <c r="B40" s="53" t="s">
        <v>551</v>
      </c>
      <c r="C40" s="53"/>
      <c r="D40" s="53"/>
      <c r="E40" s="53"/>
      <c r="F40" s="53"/>
      <c r="G40" s="70"/>
      <c r="H40" s="66" t="s">
        <v>90</v>
      </c>
      <c r="I40" s="56"/>
      <c r="J40" s="56"/>
      <c r="K40" s="56"/>
      <c r="L40" s="56"/>
      <c r="M40" s="56"/>
      <c r="N40" s="56"/>
      <c r="O40" s="13" t="s">
        <v>370</v>
      </c>
      <c r="P40" s="13"/>
      <c r="Q40" s="57"/>
      <c r="R40" s="58"/>
      <c r="S40" s="58"/>
      <c r="T40" s="58"/>
      <c r="U40" s="56"/>
      <c r="V40" s="18"/>
      <c r="W40" s="18"/>
      <c r="X40" s="18"/>
      <c r="Y40" s="18"/>
      <c r="Z40" s="18"/>
      <c r="AA40" s="13"/>
      <c r="AB40" s="13"/>
      <c r="AC40" s="13"/>
      <c r="AD40" s="13"/>
    </row>
    <row r="41" spans="1:30" ht="30" customHeight="1">
      <c r="A41" s="47">
        <f t="shared" si="4"/>
        <v>39</v>
      </c>
      <c r="B41" s="80" t="s">
        <v>490</v>
      </c>
      <c r="C41" s="80" t="s">
        <v>491</v>
      </c>
      <c r="D41" s="80" t="s">
        <v>378</v>
      </c>
      <c r="E41" s="80" t="s">
        <v>145</v>
      </c>
      <c r="F41" s="81" t="s">
        <v>146</v>
      </c>
      <c r="G41" s="82" t="s">
        <v>147</v>
      </c>
      <c r="H41" s="66" t="s">
        <v>90</v>
      </c>
      <c r="I41" s="56"/>
      <c r="J41" s="56"/>
      <c r="K41" s="56" t="s">
        <v>370</v>
      </c>
      <c r="L41" s="56" t="s">
        <v>370</v>
      </c>
      <c r="M41" s="56" t="s">
        <v>370</v>
      </c>
      <c r="N41" s="56"/>
      <c r="O41" s="13"/>
      <c r="P41" s="13"/>
      <c r="Q41" s="57"/>
      <c r="R41" s="58"/>
      <c r="S41" s="58"/>
      <c r="T41" s="58"/>
      <c r="U41" s="56"/>
      <c r="V41" s="18" t="s">
        <v>370</v>
      </c>
      <c r="W41" s="18"/>
      <c r="X41" s="18"/>
      <c r="Y41" s="18"/>
      <c r="Z41" s="18"/>
      <c r="AA41" s="13" t="s">
        <v>370</v>
      </c>
      <c r="AB41" s="13"/>
      <c r="AC41" s="13"/>
      <c r="AD41" s="13"/>
    </row>
    <row r="42" spans="1:30" ht="30" customHeight="1">
      <c r="A42" s="47">
        <f t="shared" si="4"/>
        <v>40</v>
      </c>
      <c r="B42" s="59" t="s">
        <v>503</v>
      </c>
      <c r="C42" s="59" t="s">
        <v>504</v>
      </c>
      <c r="D42" s="59" t="s">
        <v>404</v>
      </c>
      <c r="E42" s="59" t="s">
        <v>164</v>
      </c>
      <c r="F42" s="60" t="s">
        <v>165</v>
      </c>
      <c r="G42" s="60" t="s">
        <v>166</v>
      </c>
      <c r="H42" s="66" t="s">
        <v>90</v>
      </c>
      <c r="I42" s="83" t="s">
        <v>370</v>
      </c>
      <c r="J42" s="83"/>
      <c r="K42" s="83" t="s">
        <v>370</v>
      </c>
      <c r="L42" s="83" t="s">
        <v>370</v>
      </c>
      <c r="M42" s="83"/>
      <c r="N42" s="84"/>
      <c r="O42" s="85"/>
      <c r="P42" s="85"/>
      <c r="Q42" s="86"/>
      <c r="R42" s="58"/>
      <c r="S42" s="58"/>
      <c r="T42" s="58" t="s">
        <v>370</v>
      </c>
      <c r="U42" s="56" t="s">
        <v>370</v>
      </c>
      <c r="V42" s="18"/>
      <c r="W42" s="18" t="s">
        <v>370</v>
      </c>
      <c r="X42" s="18" t="s">
        <v>370</v>
      </c>
      <c r="Y42" s="18" t="s">
        <v>370</v>
      </c>
      <c r="Z42" s="18"/>
      <c r="AA42" s="13"/>
      <c r="AB42" s="13"/>
      <c r="AC42" s="13"/>
      <c r="AD42" s="13"/>
    </row>
    <row r="43" spans="1:30" ht="30" customHeight="1">
      <c r="A43" s="47">
        <f t="shared" si="4"/>
        <v>41</v>
      </c>
      <c r="B43" s="59" t="s">
        <v>764</v>
      </c>
      <c r="C43" s="59"/>
      <c r="D43" s="59"/>
      <c r="E43" s="59"/>
      <c r="F43" s="60"/>
      <c r="G43" s="60"/>
      <c r="H43" s="66" t="s">
        <v>90</v>
      </c>
      <c r="I43" s="47"/>
      <c r="J43" s="47"/>
      <c r="K43" s="47"/>
      <c r="L43" s="47"/>
      <c r="M43" s="47"/>
      <c r="N43" s="47"/>
      <c r="O43" s="85"/>
      <c r="P43" s="85"/>
      <c r="Q43" s="86"/>
      <c r="R43" s="83"/>
      <c r="S43" s="83"/>
      <c r="T43" s="83"/>
      <c r="U43" s="84"/>
      <c r="V43" s="18"/>
      <c r="W43" s="18"/>
      <c r="X43" s="18" t="s">
        <v>370</v>
      </c>
      <c r="Y43" s="18"/>
      <c r="Z43" s="18"/>
      <c r="AA43" s="13"/>
      <c r="AB43" s="13"/>
      <c r="AC43" s="13"/>
      <c r="AD43" s="13"/>
    </row>
    <row r="44" spans="1:30" ht="30" customHeight="1">
      <c r="A44" s="47">
        <f t="shared" si="4"/>
        <v>42</v>
      </c>
      <c r="B44" s="65" t="s">
        <v>520</v>
      </c>
      <c r="C44" s="65" t="s">
        <v>521</v>
      </c>
      <c r="D44" s="65" t="s">
        <v>404</v>
      </c>
      <c r="E44" s="65" t="s">
        <v>186</v>
      </c>
      <c r="F44" s="87" t="s">
        <v>187</v>
      </c>
      <c r="G44" s="69" t="s">
        <v>188</v>
      </c>
      <c r="H44" s="66" t="s">
        <v>90</v>
      </c>
      <c r="I44" s="85"/>
      <c r="J44" s="85"/>
      <c r="K44" s="85" t="s">
        <v>370</v>
      </c>
      <c r="L44" s="85" t="s">
        <v>370</v>
      </c>
      <c r="M44" s="85"/>
      <c r="N44" s="85"/>
      <c r="O44" s="85"/>
      <c r="P44" s="85"/>
      <c r="Q44" s="86"/>
      <c r="R44" s="83"/>
      <c r="S44" s="83"/>
      <c r="T44" s="83"/>
      <c r="U44" s="84"/>
      <c r="V44" s="18"/>
      <c r="W44" s="18" t="s">
        <v>370</v>
      </c>
      <c r="X44" s="18"/>
      <c r="Y44" s="18" t="s">
        <v>370</v>
      </c>
      <c r="Z44" s="18"/>
      <c r="AA44" s="13" t="s">
        <v>370</v>
      </c>
      <c r="AB44" s="13"/>
      <c r="AC44" s="13"/>
      <c r="AD44" s="13"/>
    </row>
    <row r="45" spans="1:30" ht="30" customHeight="1">
      <c r="A45" s="47">
        <f t="shared" si="4"/>
        <v>43</v>
      </c>
      <c r="B45" s="67" t="s">
        <v>379</v>
      </c>
      <c r="C45" s="67" t="s">
        <v>380</v>
      </c>
      <c r="D45" s="67" t="s">
        <v>367</v>
      </c>
      <c r="E45" s="67" t="s">
        <v>20</v>
      </c>
      <c r="F45" s="67" t="s">
        <v>21</v>
      </c>
      <c r="G45" s="73" t="s">
        <v>22</v>
      </c>
      <c r="H45" s="66" t="s">
        <v>90</v>
      </c>
      <c r="I45" s="608"/>
      <c r="J45" s="608"/>
      <c r="K45" s="608"/>
      <c r="L45" s="608" t="s">
        <v>370</v>
      </c>
      <c r="M45" s="608"/>
      <c r="N45" s="608"/>
      <c r="O45" s="608"/>
      <c r="P45" s="608"/>
      <c r="Q45" s="608"/>
      <c r="R45" s="608"/>
      <c r="S45" s="608"/>
      <c r="T45" s="608"/>
      <c r="U45" s="609"/>
      <c r="V45" s="18"/>
      <c r="W45" s="18" t="s">
        <v>370</v>
      </c>
      <c r="X45" s="18" t="s">
        <v>370</v>
      </c>
      <c r="Y45" s="18"/>
      <c r="Z45" s="18" t="s">
        <v>370</v>
      </c>
      <c r="AA45" s="13"/>
      <c r="AB45" s="13"/>
      <c r="AC45" s="13"/>
      <c r="AD45" s="13"/>
    </row>
    <row r="46" spans="1:30" ht="30" customHeight="1">
      <c r="A46" s="47">
        <f t="shared" si="4"/>
        <v>44</v>
      </c>
      <c r="B46" s="59" t="s">
        <v>516</v>
      </c>
      <c r="C46" s="59" t="s">
        <v>517</v>
      </c>
      <c r="D46" s="59" t="s">
        <v>378</v>
      </c>
      <c r="E46" s="59" t="s">
        <v>184</v>
      </c>
      <c r="F46" s="68" t="s">
        <v>776</v>
      </c>
      <c r="G46" s="67">
        <v>703244160</v>
      </c>
      <c r="H46" s="66" t="s">
        <v>90</v>
      </c>
      <c r="I46" s="13"/>
      <c r="J46" s="13"/>
      <c r="K46" s="13"/>
      <c r="L46" s="13"/>
      <c r="M46" s="13"/>
      <c r="N46" s="13"/>
      <c r="O46" s="13"/>
      <c r="P46" s="13"/>
      <c r="Q46" s="13" t="s">
        <v>370</v>
      </c>
      <c r="R46" s="13" t="s">
        <v>370</v>
      </c>
      <c r="S46" s="13" t="s">
        <v>370</v>
      </c>
      <c r="T46" s="13"/>
      <c r="U46" s="57"/>
      <c r="V46" s="18"/>
      <c r="W46" s="18"/>
      <c r="X46" s="18"/>
      <c r="Y46" s="18"/>
      <c r="Z46" s="18" t="s">
        <v>370</v>
      </c>
      <c r="AA46" s="13"/>
      <c r="AB46" s="13"/>
      <c r="AC46" s="13"/>
      <c r="AD46" s="13"/>
    </row>
    <row r="47" spans="1:30" ht="30" customHeight="1">
      <c r="A47" s="47">
        <f t="shared" si="4"/>
        <v>45</v>
      </c>
      <c r="B47" s="59" t="s">
        <v>773</v>
      </c>
      <c r="C47" s="59"/>
      <c r="D47" s="59"/>
      <c r="E47" s="59"/>
      <c r="F47" s="59"/>
      <c r="G47" s="67"/>
      <c r="H47" s="66" t="s">
        <v>90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57"/>
      <c r="V47" s="18"/>
      <c r="W47" s="18"/>
      <c r="X47" s="18"/>
      <c r="Y47" s="18"/>
      <c r="Z47" s="18" t="s">
        <v>370</v>
      </c>
      <c r="AA47" s="13"/>
      <c r="AB47" s="13"/>
      <c r="AC47" s="13"/>
      <c r="AD47" s="13"/>
    </row>
    <row r="48" spans="1:30" ht="30" customHeight="1">
      <c r="A48" s="47">
        <f t="shared" si="4"/>
        <v>46</v>
      </c>
      <c r="B48" s="59" t="s">
        <v>519</v>
      </c>
      <c r="C48" s="59"/>
      <c r="D48" s="59"/>
      <c r="E48" s="59"/>
      <c r="F48" s="59"/>
      <c r="G48" s="59"/>
      <c r="H48" s="66" t="s">
        <v>90</v>
      </c>
      <c r="I48" s="13"/>
      <c r="J48" s="13"/>
      <c r="K48" s="13"/>
      <c r="L48" s="13"/>
      <c r="M48" s="13"/>
      <c r="N48" s="13"/>
      <c r="O48" s="13"/>
      <c r="P48" s="13"/>
      <c r="Q48" s="13" t="s">
        <v>370</v>
      </c>
      <c r="R48" s="13"/>
      <c r="S48" s="13"/>
      <c r="T48" s="13"/>
      <c r="U48" s="57"/>
      <c r="V48" s="18"/>
      <c r="W48" s="18"/>
      <c r="X48" s="18"/>
      <c r="Y48" s="18"/>
      <c r="Z48" s="18"/>
      <c r="AA48" s="13" t="s">
        <v>370</v>
      </c>
      <c r="AB48" s="13"/>
      <c r="AC48" s="13"/>
      <c r="AD48" s="13"/>
    </row>
    <row r="49" spans="1:32" ht="30" customHeight="1">
      <c r="A49" s="47">
        <f t="shared" si="4"/>
        <v>47</v>
      </c>
      <c r="B49" s="59" t="s">
        <v>788</v>
      </c>
      <c r="C49" s="88"/>
      <c r="D49" s="88"/>
      <c r="E49" s="88"/>
      <c r="F49" s="59"/>
      <c r="G49" s="88"/>
      <c r="H49" s="66" t="s">
        <v>90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89"/>
      <c r="V49" s="18"/>
      <c r="W49" s="18"/>
      <c r="X49" s="18"/>
      <c r="Y49" s="18"/>
      <c r="Z49" s="18"/>
      <c r="AA49" s="13"/>
      <c r="AB49" s="13"/>
      <c r="AC49" s="13"/>
      <c r="AD49" s="13"/>
    </row>
    <row r="50" spans="1:32" ht="30" customHeight="1">
      <c r="A50" s="47">
        <f t="shared" si="4"/>
        <v>48</v>
      </c>
      <c r="B50" s="88"/>
      <c r="C50" s="88"/>
      <c r="D50" s="88"/>
      <c r="E50" s="88"/>
      <c r="F50" s="59"/>
      <c r="G50" s="88"/>
      <c r="H50" s="66" t="s">
        <v>90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89"/>
      <c r="V50" s="18"/>
      <c r="W50" s="18"/>
      <c r="X50" s="18"/>
      <c r="Y50" s="18"/>
      <c r="Z50" s="18"/>
      <c r="AA50" s="13"/>
      <c r="AB50" s="13"/>
      <c r="AC50" s="13"/>
      <c r="AD50" s="13"/>
    </row>
    <row r="51" spans="1:32" ht="30" customHeight="1">
      <c r="A51" s="47">
        <f t="shared" si="4"/>
        <v>49</v>
      </c>
      <c r="B51" s="88"/>
      <c r="C51" s="88"/>
      <c r="D51" s="88"/>
      <c r="E51" s="88"/>
      <c r="F51" s="59"/>
      <c r="G51" s="88"/>
      <c r="H51" s="66" t="s">
        <v>90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89"/>
      <c r="V51" s="18"/>
      <c r="W51" s="18"/>
      <c r="X51" s="18"/>
      <c r="Y51" s="18"/>
      <c r="Z51" s="18"/>
      <c r="AA51" s="13"/>
      <c r="AB51" s="13"/>
      <c r="AC51" s="13"/>
      <c r="AD51" s="13"/>
    </row>
    <row r="52" spans="1:32" ht="30" customHeight="1">
      <c r="A52" s="47">
        <f t="shared" si="4"/>
        <v>50</v>
      </c>
      <c r="B52" s="88"/>
      <c r="C52" s="88"/>
      <c r="D52" s="88"/>
      <c r="E52" s="88"/>
      <c r="F52" s="59"/>
      <c r="G52" s="88"/>
      <c r="H52" s="66" t="s">
        <v>90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89"/>
      <c r="V52" s="18"/>
      <c r="W52" s="18"/>
      <c r="X52" s="18"/>
      <c r="Y52" s="18"/>
      <c r="Z52" s="18"/>
      <c r="AA52" s="13"/>
      <c r="AB52" s="13"/>
      <c r="AC52" s="13"/>
      <c r="AD52" s="13"/>
    </row>
    <row r="53" spans="1:32" ht="30" customHeight="1">
      <c r="A53" s="47">
        <f t="shared" si="4"/>
        <v>51</v>
      </c>
      <c r="B53" s="88"/>
      <c r="C53" s="88"/>
      <c r="D53" s="88"/>
      <c r="E53" s="88"/>
      <c r="F53" s="59"/>
      <c r="G53" s="88"/>
      <c r="H53" s="66" t="s">
        <v>90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89"/>
      <c r="V53" s="18"/>
      <c r="W53" s="18"/>
      <c r="X53" s="18"/>
      <c r="Y53" s="18"/>
      <c r="Z53" s="18"/>
      <c r="AA53" s="13"/>
      <c r="AB53" s="13"/>
      <c r="AC53" s="13"/>
      <c r="AD53" s="13"/>
    </row>
    <row r="54" spans="1:32" ht="30" customHeight="1">
      <c r="B54"/>
      <c r="C54"/>
      <c r="D54"/>
      <c r="E54"/>
      <c r="F54"/>
      <c r="G54"/>
      <c r="H54"/>
    </row>
    <row r="55" spans="1:32" ht="30" customHeight="1">
      <c r="B55"/>
      <c r="C55"/>
      <c r="D55"/>
      <c r="E55"/>
      <c r="F55"/>
      <c r="G55"/>
      <c r="H55"/>
      <c r="V55">
        <f>COUNTIF(V3:V53,"YES")</f>
        <v>12</v>
      </c>
      <c r="W55">
        <f t="shared" ref="W55:AF55" si="5">COUNTIF(W3:W53,"YES")</f>
        <v>12</v>
      </c>
      <c r="X55">
        <f t="shared" si="5"/>
        <v>17</v>
      </c>
      <c r="Y55">
        <f t="shared" si="5"/>
        <v>14</v>
      </c>
      <c r="Z55">
        <f t="shared" si="5"/>
        <v>13</v>
      </c>
      <c r="AA55" s="47">
        <f t="shared" si="5"/>
        <v>15</v>
      </c>
      <c r="AB55" s="47">
        <f t="shared" si="5"/>
        <v>0</v>
      </c>
      <c r="AC55" s="47">
        <f t="shared" si="5"/>
        <v>0</v>
      </c>
      <c r="AD55" s="47">
        <f t="shared" si="5"/>
        <v>0</v>
      </c>
      <c r="AE55">
        <f t="shared" si="5"/>
        <v>0</v>
      </c>
      <c r="AF55">
        <f t="shared" si="5"/>
        <v>0</v>
      </c>
    </row>
    <row r="56" spans="1:32" ht="30" customHeight="1">
      <c r="B56"/>
      <c r="C56"/>
      <c r="D56"/>
      <c r="E56"/>
      <c r="F56"/>
      <c r="G56"/>
      <c r="H56"/>
    </row>
    <row r="57" spans="1:32" ht="30" customHeight="1">
      <c r="B57"/>
      <c r="C57"/>
      <c r="D57"/>
      <c r="E57"/>
      <c r="F57"/>
      <c r="G57"/>
      <c r="H57"/>
    </row>
    <row r="58" spans="1:32" ht="30" customHeight="1">
      <c r="B58"/>
      <c r="C58"/>
      <c r="D58"/>
      <c r="E58"/>
      <c r="F58"/>
      <c r="G58"/>
      <c r="H58"/>
    </row>
    <row r="59" spans="1:32">
      <c r="B59"/>
      <c r="C59"/>
      <c r="D59"/>
      <c r="E59"/>
      <c r="F59"/>
      <c r="G59"/>
      <c r="H59"/>
    </row>
    <row r="60" spans="1:32">
      <c r="B60"/>
      <c r="C60"/>
      <c r="D60"/>
      <c r="E60"/>
      <c r="F60"/>
      <c r="G60"/>
      <c r="H60"/>
    </row>
    <row r="61" spans="1:32">
      <c r="B61"/>
      <c r="C61"/>
      <c r="D61"/>
      <c r="E61"/>
      <c r="F61"/>
      <c r="G61"/>
      <c r="H61"/>
    </row>
    <row r="62" spans="1:32">
      <c r="B62"/>
      <c r="C62"/>
      <c r="D62"/>
      <c r="E62"/>
      <c r="F62"/>
      <c r="G62"/>
      <c r="H62"/>
    </row>
    <row r="63" spans="1:32">
      <c r="B63"/>
      <c r="C63"/>
      <c r="D63"/>
      <c r="E63"/>
      <c r="F63"/>
      <c r="G63"/>
      <c r="H63"/>
    </row>
    <row r="64" spans="1:32">
      <c r="B64"/>
      <c r="C64"/>
      <c r="D64"/>
      <c r="E64"/>
      <c r="F64"/>
      <c r="G64"/>
      <c r="H64"/>
    </row>
    <row r="65" spans="2:8">
      <c r="B65"/>
      <c r="C65"/>
      <c r="D65"/>
      <c r="E65"/>
      <c r="F65"/>
      <c r="G65"/>
      <c r="H65"/>
    </row>
    <row r="66" spans="2:8">
      <c r="B66"/>
      <c r="C66"/>
      <c r="D66"/>
      <c r="E66"/>
      <c r="F66"/>
      <c r="G66"/>
      <c r="H66"/>
    </row>
    <row r="67" spans="2:8">
      <c r="B67"/>
      <c r="C67"/>
      <c r="D67"/>
      <c r="E67"/>
      <c r="F67"/>
      <c r="G67"/>
      <c r="H67"/>
    </row>
    <row r="68" spans="2:8">
      <c r="B68"/>
      <c r="C68"/>
      <c r="D68"/>
      <c r="E68"/>
      <c r="F68"/>
      <c r="G68"/>
      <c r="H68"/>
    </row>
    <row r="69" spans="2:8">
      <c r="B69"/>
      <c r="C69"/>
      <c r="D69"/>
      <c r="E69"/>
      <c r="F69"/>
      <c r="G69"/>
      <c r="H69"/>
    </row>
    <row r="70" spans="2:8">
      <c r="B70"/>
      <c r="C70"/>
      <c r="D70"/>
      <c r="E70"/>
      <c r="F70"/>
      <c r="G70"/>
      <c r="H70"/>
    </row>
    <row r="71" spans="2:8">
      <c r="B71"/>
      <c r="C71"/>
      <c r="D71"/>
      <c r="E71"/>
      <c r="F71"/>
      <c r="G71"/>
      <c r="H71"/>
    </row>
    <row r="72" spans="2:8">
      <c r="B72"/>
      <c r="C72"/>
      <c r="D72"/>
      <c r="E72"/>
      <c r="F72"/>
      <c r="G72"/>
      <c r="H72"/>
    </row>
    <row r="73" spans="2:8">
      <c r="B73"/>
      <c r="C73"/>
      <c r="D73"/>
      <c r="E73"/>
      <c r="F73"/>
      <c r="G73"/>
      <c r="H73"/>
    </row>
    <row r="74" spans="2:8">
      <c r="B74"/>
      <c r="C74"/>
      <c r="D74"/>
      <c r="E74"/>
      <c r="F74"/>
      <c r="G74"/>
      <c r="H74"/>
    </row>
    <row r="75" spans="2:8">
      <c r="B75"/>
      <c r="C75"/>
      <c r="D75"/>
      <c r="E75"/>
      <c r="F75"/>
      <c r="G75"/>
      <c r="H75"/>
    </row>
    <row r="76" spans="2:8">
      <c r="B76"/>
      <c r="C76"/>
      <c r="D76"/>
      <c r="E76"/>
      <c r="F76"/>
      <c r="G76"/>
      <c r="H76"/>
    </row>
    <row r="77" spans="2:8">
      <c r="B77"/>
      <c r="C77"/>
      <c r="D77"/>
      <c r="E77"/>
      <c r="F77"/>
      <c r="G77"/>
      <c r="H77"/>
    </row>
    <row r="78" spans="2:8">
      <c r="B78"/>
      <c r="C78"/>
      <c r="D78"/>
      <c r="E78"/>
      <c r="F78"/>
      <c r="G78"/>
      <c r="H78"/>
    </row>
    <row r="79" spans="2:8">
      <c r="B79"/>
      <c r="C79"/>
      <c r="D79"/>
      <c r="E79"/>
      <c r="F79"/>
      <c r="G79"/>
      <c r="H79"/>
    </row>
    <row r="80" spans="2:8">
      <c r="B80"/>
      <c r="C80"/>
      <c r="D80"/>
      <c r="E80"/>
      <c r="F80"/>
      <c r="G80"/>
      <c r="H80"/>
    </row>
    <row r="81" spans="2:8">
      <c r="B81"/>
      <c r="C81"/>
      <c r="D81"/>
      <c r="E81"/>
      <c r="F81"/>
      <c r="G81"/>
      <c r="H81"/>
    </row>
    <row r="82" spans="2:8">
      <c r="B82"/>
      <c r="C82"/>
      <c r="D82"/>
      <c r="E82"/>
      <c r="F82"/>
      <c r="G82"/>
      <c r="H82"/>
    </row>
    <row r="83" spans="2:8">
      <c r="B83"/>
      <c r="C83"/>
      <c r="D83"/>
      <c r="E83"/>
      <c r="F83"/>
      <c r="G83"/>
      <c r="H83"/>
    </row>
    <row r="84" spans="2:8">
      <c r="B84"/>
      <c r="C84"/>
      <c r="D84"/>
      <c r="E84"/>
      <c r="F84"/>
      <c r="G84"/>
      <c r="H84"/>
    </row>
    <row r="85" spans="2:8">
      <c r="B85"/>
      <c r="C85"/>
      <c r="D85"/>
      <c r="E85"/>
      <c r="F85"/>
      <c r="G85"/>
      <c r="H85"/>
    </row>
    <row r="86" spans="2:8">
      <c r="B86"/>
      <c r="C86"/>
      <c r="D86"/>
      <c r="E86"/>
      <c r="F86"/>
      <c r="G86"/>
      <c r="H86"/>
    </row>
    <row r="87" spans="2:8">
      <c r="B87"/>
      <c r="C87"/>
      <c r="D87"/>
      <c r="E87"/>
      <c r="F87"/>
      <c r="G87"/>
      <c r="H87"/>
    </row>
    <row r="88" spans="2:8">
      <c r="B88"/>
      <c r="C88"/>
      <c r="D88"/>
      <c r="E88"/>
      <c r="F88"/>
      <c r="G88"/>
      <c r="H88"/>
    </row>
    <row r="89" spans="2:8">
      <c r="B89"/>
      <c r="C89"/>
      <c r="D89"/>
      <c r="E89"/>
      <c r="F89"/>
      <c r="G89"/>
      <c r="H89"/>
    </row>
    <row r="90" spans="2:8">
      <c r="B90"/>
      <c r="C90"/>
      <c r="D90"/>
      <c r="E90"/>
      <c r="F90"/>
      <c r="G90"/>
      <c r="H90"/>
    </row>
    <row r="91" spans="2:8">
      <c r="B91"/>
      <c r="C91"/>
      <c r="D91"/>
      <c r="E91"/>
      <c r="F91"/>
      <c r="G91"/>
      <c r="H91"/>
    </row>
    <row r="92" spans="2:8">
      <c r="B92"/>
      <c r="C92"/>
      <c r="D92"/>
      <c r="E92"/>
      <c r="F92"/>
      <c r="G92"/>
      <c r="H92"/>
    </row>
    <row r="93" spans="2:8">
      <c r="B93"/>
      <c r="C93"/>
      <c r="D93"/>
      <c r="E93"/>
      <c r="F93"/>
      <c r="G93"/>
      <c r="H93"/>
    </row>
    <row r="94" spans="2:8">
      <c r="B94"/>
      <c r="C94"/>
      <c r="D94"/>
      <c r="E94"/>
      <c r="F94"/>
      <c r="G94"/>
      <c r="H94"/>
    </row>
    <row r="95" spans="2:8">
      <c r="B95"/>
      <c r="C95"/>
      <c r="D95"/>
      <c r="E95"/>
      <c r="F95"/>
      <c r="G95"/>
      <c r="H95"/>
    </row>
    <row r="96" spans="2:8">
      <c r="B96"/>
      <c r="C96"/>
      <c r="D96"/>
      <c r="E96"/>
      <c r="F96"/>
      <c r="G96"/>
      <c r="H96"/>
    </row>
    <row r="97" spans="2:8">
      <c r="B97"/>
      <c r="C97"/>
      <c r="D97"/>
      <c r="E97"/>
      <c r="F97"/>
      <c r="G97"/>
      <c r="H97"/>
    </row>
    <row r="98" spans="2:8">
      <c r="B98"/>
      <c r="C98"/>
      <c r="D98"/>
      <c r="E98"/>
      <c r="F98"/>
      <c r="G98"/>
      <c r="H98"/>
    </row>
    <row r="99" spans="2:8">
      <c r="B99"/>
      <c r="C99"/>
      <c r="D99"/>
      <c r="E99"/>
      <c r="F99"/>
      <c r="G99"/>
      <c r="H99"/>
    </row>
    <row r="100" spans="2:8">
      <c r="B100"/>
      <c r="C100"/>
      <c r="D100"/>
      <c r="E100"/>
      <c r="F100"/>
      <c r="G100"/>
      <c r="H100"/>
    </row>
    <row r="101" spans="2:8">
      <c r="B101"/>
      <c r="C101"/>
      <c r="D101"/>
      <c r="E101"/>
      <c r="F101"/>
      <c r="G101"/>
      <c r="H101"/>
    </row>
    <row r="102" spans="2:8">
      <c r="B102"/>
      <c r="C102"/>
      <c r="D102"/>
      <c r="E102"/>
      <c r="F102"/>
      <c r="G102"/>
      <c r="H102"/>
    </row>
    <row r="103" spans="2:8">
      <c r="B103"/>
      <c r="C103"/>
      <c r="D103"/>
      <c r="E103"/>
      <c r="F103"/>
      <c r="G103"/>
      <c r="H103"/>
    </row>
    <row r="104" spans="2:8">
      <c r="B104"/>
      <c r="C104"/>
      <c r="D104"/>
      <c r="E104"/>
      <c r="F104"/>
      <c r="G104"/>
      <c r="H104"/>
    </row>
    <row r="105" spans="2:8">
      <c r="B105"/>
      <c r="C105"/>
      <c r="D105"/>
      <c r="E105"/>
      <c r="F105"/>
      <c r="G105"/>
      <c r="H105"/>
    </row>
    <row r="106" spans="2:8">
      <c r="B106"/>
      <c r="C106"/>
      <c r="D106"/>
      <c r="E106"/>
      <c r="F106"/>
      <c r="G106"/>
      <c r="H106"/>
    </row>
    <row r="107" spans="2:8">
      <c r="B107"/>
      <c r="C107"/>
      <c r="D107"/>
      <c r="E107"/>
      <c r="F107"/>
      <c r="G107"/>
      <c r="H107"/>
    </row>
    <row r="108" spans="2:8">
      <c r="B108"/>
      <c r="C108"/>
      <c r="D108"/>
      <c r="E108"/>
      <c r="F108"/>
      <c r="G108"/>
      <c r="H108"/>
    </row>
    <row r="109" spans="2:8">
      <c r="B109"/>
      <c r="C109"/>
      <c r="D109"/>
      <c r="E109"/>
      <c r="F109"/>
      <c r="G109"/>
      <c r="H109"/>
    </row>
    <row r="110" spans="2:8">
      <c r="B110"/>
      <c r="C110"/>
      <c r="D110"/>
      <c r="E110"/>
      <c r="F110"/>
      <c r="G110"/>
      <c r="H110"/>
    </row>
    <row r="111" spans="2:8">
      <c r="B111"/>
      <c r="C111"/>
      <c r="D111"/>
      <c r="E111"/>
      <c r="F111"/>
      <c r="G111"/>
      <c r="H111"/>
    </row>
    <row r="112" spans="2:8">
      <c r="B112"/>
      <c r="C112"/>
      <c r="D112"/>
      <c r="E112"/>
      <c r="F112"/>
      <c r="G112"/>
      <c r="H112"/>
    </row>
    <row r="113" spans="2:8">
      <c r="B113"/>
      <c r="C113"/>
      <c r="D113"/>
      <c r="E113"/>
      <c r="F113"/>
      <c r="G113"/>
      <c r="H113"/>
    </row>
    <row r="114" spans="2:8">
      <c r="B114"/>
      <c r="C114"/>
      <c r="D114"/>
      <c r="E114"/>
      <c r="F114"/>
      <c r="G114"/>
      <c r="H114"/>
    </row>
    <row r="115" spans="2:8">
      <c r="B115"/>
      <c r="C115"/>
      <c r="D115"/>
      <c r="E115"/>
      <c r="F115"/>
      <c r="G115"/>
      <c r="H115"/>
    </row>
    <row r="116" spans="2:8">
      <c r="B116"/>
      <c r="C116"/>
      <c r="D116"/>
      <c r="E116"/>
      <c r="F116"/>
      <c r="G116"/>
      <c r="H116"/>
    </row>
    <row r="117" spans="2:8">
      <c r="B117"/>
      <c r="C117"/>
      <c r="D117"/>
      <c r="E117"/>
      <c r="F117"/>
      <c r="G117"/>
      <c r="H117"/>
    </row>
    <row r="118" spans="2:8">
      <c r="B118"/>
      <c r="C118"/>
      <c r="D118"/>
      <c r="E118"/>
      <c r="F118"/>
      <c r="G118"/>
      <c r="H118"/>
    </row>
    <row r="119" spans="2:8">
      <c r="B119"/>
      <c r="C119"/>
      <c r="D119"/>
      <c r="E119"/>
      <c r="F119"/>
      <c r="G119"/>
      <c r="H119"/>
    </row>
    <row r="120" spans="2:8">
      <c r="B120"/>
      <c r="C120"/>
      <c r="D120"/>
      <c r="E120"/>
      <c r="F120"/>
      <c r="G120"/>
      <c r="H120"/>
    </row>
    <row r="121" spans="2:8">
      <c r="B121"/>
      <c r="C121"/>
      <c r="D121"/>
      <c r="E121"/>
      <c r="F121"/>
      <c r="G121"/>
      <c r="H121"/>
    </row>
    <row r="122" spans="2:8">
      <c r="B122"/>
      <c r="C122"/>
      <c r="D122"/>
      <c r="E122"/>
      <c r="F122"/>
      <c r="G122"/>
      <c r="H122"/>
    </row>
    <row r="123" spans="2:8">
      <c r="B123"/>
      <c r="C123"/>
      <c r="D123"/>
      <c r="E123"/>
      <c r="F123"/>
      <c r="G123"/>
      <c r="H123"/>
    </row>
    <row r="124" spans="2:8">
      <c r="B124"/>
      <c r="C124"/>
      <c r="D124"/>
      <c r="E124"/>
      <c r="F124"/>
      <c r="G124"/>
      <c r="H124"/>
    </row>
    <row r="125" spans="2:8">
      <c r="B125"/>
      <c r="C125"/>
      <c r="D125"/>
      <c r="E125"/>
      <c r="F125"/>
      <c r="G125"/>
      <c r="H125"/>
    </row>
    <row r="126" spans="2:8">
      <c r="B126"/>
      <c r="C126"/>
      <c r="D126"/>
      <c r="E126"/>
      <c r="F126"/>
      <c r="G126"/>
      <c r="H126"/>
    </row>
    <row r="127" spans="2:8">
      <c r="B127"/>
      <c r="C127"/>
      <c r="D127"/>
      <c r="E127"/>
      <c r="F127"/>
      <c r="G127"/>
      <c r="H127"/>
    </row>
    <row r="128" spans="2:8">
      <c r="B128"/>
      <c r="C128"/>
      <c r="D128"/>
      <c r="E128"/>
      <c r="F128"/>
      <c r="G128"/>
      <c r="H128"/>
    </row>
    <row r="129" spans="2:8">
      <c r="B129"/>
      <c r="C129"/>
      <c r="D129"/>
      <c r="E129"/>
      <c r="F129"/>
      <c r="G129"/>
      <c r="H129"/>
    </row>
    <row r="130" spans="2:8">
      <c r="B130"/>
      <c r="C130"/>
      <c r="D130"/>
      <c r="E130"/>
      <c r="F130"/>
      <c r="G130"/>
      <c r="H130"/>
    </row>
    <row r="131" spans="2:8">
      <c r="B131"/>
      <c r="C131"/>
      <c r="D131"/>
      <c r="E131"/>
      <c r="F131"/>
      <c r="G131"/>
      <c r="H131"/>
    </row>
    <row r="132" spans="2:8">
      <c r="B132"/>
      <c r="C132"/>
      <c r="D132"/>
      <c r="E132"/>
      <c r="F132"/>
      <c r="G132"/>
      <c r="H132"/>
    </row>
    <row r="133" spans="2:8">
      <c r="B133"/>
      <c r="C133"/>
      <c r="D133"/>
      <c r="E133"/>
      <c r="F133"/>
      <c r="G133"/>
      <c r="H133"/>
    </row>
    <row r="134" spans="2:8">
      <c r="B134"/>
      <c r="C134"/>
      <c r="D134"/>
      <c r="E134"/>
      <c r="F134"/>
      <c r="G134"/>
      <c r="H134"/>
    </row>
    <row r="135" spans="2:8">
      <c r="B135"/>
      <c r="C135"/>
      <c r="D135"/>
      <c r="E135"/>
      <c r="F135"/>
      <c r="G135"/>
      <c r="H135"/>
    </row>
    <row r="136" spans="2:8">
      <c r="B136"/>
      <c r="C136"/>
      <c r="D136"/>
      <c r="E136"/>
      <c r="F136"/>
      <c r="G136"/>
      <c r="H136"/>
    </row>
    <row r="137" spans="2:8">
      <c r="B137"/>
      <c r="C137"/>
      <c r="D137"/>
      <c r="E137"/>
      <c r="F137"/>
      <c r="G137"/>
      <c r="H137"/>
    </row>
    <row r="138" spans="2:8">
      <c r="B138"/>
      <c r="C138"/>
      <c r="D138"/>
      <c r="E138"/>
      <c r="F138"/>
      <c r="G138"/>
      <c r="H138"/>
    </row>
    <row r="139" spans="2:8">
      <c r="B139"/>
      <c r="C139"/>
      <c r="D139"/>
      <c r="E139"/>
      <c r="F139"/>
      <c r="G139"/>
      <c r="H139"/>
    </row>
    <row r="140" spans="2:8">
      <c r="B140"/>
      <c r="C140"/>
      <c r="D140"/>
      <c r="E140"/>
      <c r="F140"/>
      <c r="G140"/>
      <c r="H140"/>
    </row>
    <row r="141" spans="2:8">
      <c r="B141"/>
      <c r="C141"/>
      <c r="D141"/>
      <c r="E141"/>
      <c r="F141"/>
      <c r="G141"/>
      <c r="H141"/>
    </row>
    <row r="142" spans="2:8">
      <c r="B142"/>
      <c r="C142"/>
      <c r="D142"/>
      <c r="E142"/>
      <c r="F142"/>
      <c r="G142"/>
      <c r="H142"/>
    </row>
    <row r="143" spans="2:8">
      <c r="B143"/>
      <c r="C143"/>
      <c r="D143"/>
      <c r="E143"/>
      <c r="F143"/>
      <c r="G143"/>
      <c r="H143"/>
    </row>
    <row r="144" spans="2:8">
      <c r="B144"/>
      <c r="C144"/>
      <c r="D144"/>
      <c r="E144"/>
      <c r="F144"/>
      <c r="G144"/>
      <c r="H144"/>
    </row>
    <row r="145" spans="2:8">
      <c r="B145"/>
      <c r="C145"/>
      <c r="D145"/>
      <c r="E145"/>
      <c r="F145"/>
      <c r="G145"/>
      <c r="H145"/>
    </row>
    <row r="146" spans="2:8">
      <c r="B146"/>
      <c r="C146"/>
      <c r="D146"/>
      <c r="E146"/>
      <c r="F146"/>
      <c r="G146"/>
      <c r="H146"/>
    </row>
    <row r="147" spans="2:8">
      <c r="B147"/>
      <c r="C147"/>
      <c r="D147"/>
      <c r="E147"/>
      <c r="F147"/>
      <c r="G147"/>
      <c r="H147"/>
    </row>
    <row r="148" spans="2:8">
      <c r="B148"/>
      <c r="C148"/>
      <c r="D148"/>
      <c r="E148"/>
      <c r="F148"/>
      <c r="G148"/>
      <c r="H148"/>
    </row>
    <row r="149" spans="2:8">
      <c r="B149"/>
      <c r="C149"/>
      <c r="D149"/>
      <c r="E149"/>
      <c r="F149"/>
      <c r="G149"/>
      <c r="H149"/>
    </row>
    <row r="150" spans="2:8">
      <c r="B150"/>
      <c r="C150"/>
      <c r="D150"/>
      <c r="E150"/>
      <c r="F150"/>
      <c r="G150"/>
      <c r="H150"/>
    </row>
    <row r="151" spans="2:8">
      <c r="B151"/>
      <c r="C151"/>
      <c r="D151"/>
      <c r="E151"/>
      <c r="F151"/>
      <c r="G151"/>
      <c r="H151"/>
    </row>
    <row r="152" spans="2:8">
      <c r="B152"/>
      <c r="C152"/>
      <c r="D152"/>
      <c r="E152"/>
      <c r="F152"/>
      <c r="G152"/>
      <c r="H152"/>
    </row>
    <row r="153" spans="2:8">
      <c r="B153"/>
      <c r="C153"/>
      <c r="D153"/>
      <c r="E153"/>
      <c r="F153"/>
      <c r="G153"/>
      <c r="H153"/>
    </row>
    <row r="154" spans="2:8">
      <c r="B154"/>
      <c r="C154"/>
      <c r="D154"/>
      <c r="E154"/>
      <c r="F154"/>
      <c r="G154"/>
      <c r="H154"/>
    </row>
    <row r="155" spans="2:8">
      <c r="B155"/>
      <c r="C155"/>
      <c r="D155"/>
      <c r="E155"/>
      <c r="F155"/>
      <c r="G155"/>
      <c r="H155"/>
    </row>
    <row r="156" spans="2:8">
      <c r="B156"/>
      <c r="C156"/>
      <c r="D156"/>
      <c r="E156"/>
      <c r="F156"/>
      <c r="G156"/>
      <c r="H156"/>
    </row>
    <row r="157" spans="2:8">
      <c r="B157"/>
      <c r="C157"/>
      <c r="D157"/>
      <c r="E157"/>
      <c r="F157"/>
      <c r="G157"/>
      <c r="H157"/>
    </row>
    <row r="158" spans="2:8">
      <c r="B158"/>
      <c r="C158"/>
      <c r="D158"/>
      <c r="E158"/>
      <c r="F158"/>
      <c r="G158"/>
      <c r="H158"/>
    </row>
    <row r="159" spans="2:8">
      <c r="B159"/>
      <c r="C159"/>
      <c r="D159"/>
      <c r="E159"/>
      <c r="F159"/>
      <c r="G159"/>
      <c r="H159"/>
    </row>
    <row r="160" spans="2:8">
      <c r="B160"/>
      <c r="C160"/>
      <c r="D160"/>
      <c r="E160"/>
      <c r="F160"/>
      <c r="G160"/>
      <c r="H160"/>
    </row>
    <row r="161" spans="2:8">
      <c r="B161"/>
      <c r="C161"/>
      <c r="D161"/>
      <c r="E161"/>
      <c r="F161"/>
      <c r="G161"/>
      <c r="H161"/>
    </row>
    <row r="162" spans="2:8">
      <c r="B162"/>
      <c r="C162"/>
      <c r="D162"/>
      <c r="E162"/>
      <c r="F162"/>
      <c r="G162"/>
      <c r="H162"/>
    </row>
    <row r="163" spans="2:8">
      <c r="B163"/>
      <c r="C163"/>
      <c r="D163"/>
      <c r="E163"/>
      <c r="F163"/>
      <c r="G163"/>
      <c r="H163"/>
    </row>
    <row r="164" spans="2:8">
      <c r="B164"/>
      <c r="C164"/>
      <c r="D164"/>
      <c r="E164"/>
      <c r="F164"/>
      <c r="G164"/>
      <c r="H164"/>
    </row>
    <row r="165" spans="2:8">
      <c r="B165"/>
      <c r="C165"/>
      <c r="D165"/>
      <c r="E165"/>
      <c r="F165"/>
      <c r="G165"/>
      <c r="H165"/>
    </row>
    <row r="166" spans="2:8">
      <c r="B166"/>
      <c r="C166"/>
      <c r="D166"/>
      <c r="E166"/>
      <c r="F166"/>
      <c r="G166"/>
      <c r="H166"/>
    </row>
    <row r="167" spans="2:8">
      <c r="B167"/>
      <c r="C167"/>
      <c r="D167"/>
      <c r="E167"/>
      <c r="F167"/>
      <c r="G167"/>
      <c r="H167"/>
    </row>
    <row r="168" spans="2:8">
      <c r="B168"/>
      <c r="C168"/>
      <c r="D168"/>
      <c r="E168"/>
      <c r="F168"/>
      <c r="G168"/>
      <c r="H168"/>
    </row>
    <row r="169" spans="2:8">
      <c r="B169"/>
      <c r="C169"/>
      <c r="D169"/>
      <c r="E169"/>
      <c r="F169"/>
      <c r="G169"/>
      <c r="H169"/>
    </row>
    <row r="170" spans="2:8">
      <c r="B170"/>
      <c r="C170"/>
      <c r="D170"/>
      <c r="E170"/>
      <c r="F170"/>
      <c r="G170"/>
      <c r="H170"/>
    </row>
    <row r="171" spans="2:8">
      <c r="B171"/>
      <c r="C171"/>
      <c r="D171"/>
      <c r="E171"/>
      <c r="F171"/>
      <c r="G171"/>
      <c r="H171"/>
    </row>
    <row r="172" spans="2:8">
      <c r="B172"/>
      <c r="C172"/>
      <c r="D172"/>
      <c r="E172"/>
      <c r="F172"/>
      <c r="G172"/>
      <c r="H172"/>
    </row>
    <row r="173" spans="2:8">
      <c r="B173"/>
      <c r="C173"/>
      <c r="D173"/>
      <c r="E173"/>
      <c r="F173"/>
      <c r="G173"/>
      <c r="H173"/>
    </row>
    <row r="174" spans="2:8">
      <c r="B174"/>
      <c r="C174"/>
      <c r="D174"/>
      <c r="E174"/>
      <c r="F174"/>
      <c r="G174"/>
      <c r="H174"/>
    </row>
    <row r="175" spans="2:8">
      <c r="B175"/>
      <c r="C175"/>
      <c r="D175"/>
      <c r="E175"/>
      <c r="F175"/>
      <c r="G175"/>
      <c r="H175"/>
    </row>
    <row r="176" spans="2:8">
      <c r="B176"/>
      <c r="C176"/>
      <c r="D176"/>
      <c r="E176"/>
      <c r="F176"/>
      <c r="G176"/>
      <c r="H176"/>
    </row>
    <row r="177" spans="2:8">
      <c r="B177"/>
      <c r="C177"/>
      <c r="D177"/>
      <c r="E177"/>
      <c r="F177"/>
      <c r="G177"/>
      <c r="H177"/>
    </row>
    <row r="178" spans="2:8">
      <c r="B178"/>
      <c r="C178"/>
      <c r="D178"/>
      <c r="E178"/>
      <c r="F178"/>
      <c r="G178"/>
      <c r="H178"/>
    </row>
    <row r="179" spans="2:8">
      <c r="B179"/>
      <c r="C179"/>
      <c r="D179"/>
      <c r="E179"/>
      <c r="F179"/>
      <c r="G179"/>
      <c r="H179"/>
    </row>
    <row r="180" spans="2:8">
      <c r="B180"/>
      <c r="C180"/>
      <c r="D180"/>
      <c r="E180"/>
      <c r="F180"/>
      <c r="G180"/>
      <c r="H180"/>
    </row>
    <row r="181" spans="2:8">
      <c r="B181"/>
      <c r="C181"/>
      <c r="D181"/>
      <c r="E181"/>
      <c r="F181"/>
      <c r="G181"/>
      <c r="H181"/>
    </row>
    <row r="182" spans="2:8">
      <c r="B182"/>
      <c r="C182"/>
      <c r="D182"/>
      <c r="E182"/>
      <c r="F182"/>
      <c r="G182"/>
      <c r="H182"/>
    </row>
    <row r="183" spans="2:8">
      <c r="B183"/>
      <c r="C183"/>
      <c r="D183"/>
      <c r="E183"/>
      <c r="F183"/>
      <c r="G183"/>
      <c r="H183"/>
    </row>
    <row r="184" spans="2:8">
      <c r="B184"/>
      <c r="C184"/>
      <c r="D184"/>
      <c r="E184"/>
      <c r="F184"/>
      <c r="G184"/>
      <c r="H184"/>
    </row>
    <row r="185" spans="2:8">
      <c r="B185"/>
      <c r="C185"/>
      <c r="D185"/>
      <c r="E185"/>
      <c r="F185"/>
      <c r="G185"/>
      <c r="H185"/>
    </row>
    <row r="186" spans="2:8">
      <c r="B186"/>
      <c r="C186"/>
      <c r="D186"/>
      <c r="E186"/>
      <c r="F186"/>
      <c r="G186"/>
      <c r="H186"/>
    </row>
    <row r="187" spans="2:8">
      <c r="B187"/>
      <c r="C187"/>
      <c r="D187"/>
      <c r="E187"/>
      <c r="F187"/>
      <c r="G187"/>
      <c r="H187"/>
    </row>
    <row r="188" spans="2:8">
      <c r="B188"/>
      <c r="C188"/>
      <c r="D188"/>
      <c r="E188"/>
      <c r="F188"/>
      <c r="G188"/>
      <c r="H188"/>
    </row>
    <row r="189" spans="2:8">
      <c r="B189"/>
      <c r="C189"/>
      <c r="D189"/>
      <c r="E189"/>
      <c r="F189"/>
      <c r="G189"/>
      <c r="H189"/>
    </row>
    <row r="190" spans="2:8">
      <c r="B190"/>
      <c r="C190"/>
      <c r="D190"/>
      <c r="E190"/>
      <c r="F190"/>
      <c r="G190"/>
      <c r="H190"/>
    </row>
    <row r="191" spans="2:8">
      <c r="B191"/>
      <c r="C191"/>
      <c r="D191"/>
      <c r="E191"/>
      <c r="F191"/>
      <c r="G191"/>
      <c r="H191"/>
    </row>
    <row r="192" spans="2:8">
      <c r="B192"/>
      <c r="C192"/>
      <c r="D192"/>
      <c r="E192"/>
      <c r="F192"/>
      <c r="G192"/>
      <c r="H192"/>
    </row>
    <row r="193" spans="2:8">
      <c r="B193"/>
      <c r="C193"/>
      <c r="D193"/>
      <c r="E193"/>
      <c r="F193"/>
      <c r="G193"/>
      <c r="H193"/>
    </row>
    <row r="194" spans="2:8">
      <c r="B194"/>
      <c r="C194"/>
      <c r="D194"/>
      <c r="E194"/>
      <c r="F194"/>
      <c r="G194"/>
      <c r="H194"/>
    </row>
    <row r="195" spans="2:8">
      <c r="B195"/>
      <c r="C195"/>
      <c r="D195"/>
      <c r="E195"/>
      <c r="F195"/>
      <c r="G195"/>
      <c r="H195"/>
    </row>
    <row r="196" spans="2:8">
      <c r="B196"/>
      <c r="C196"/>
      <c r="D196"/>
      <c r="E196"/>
      <c r="F196"/>
      <c r="G196"/>
      <c r="H196"/>
    </row>
    <row r="197" spans="2:8">
      <c r="B197"/>
      <c r="C197"/>
      <c r="D197"/>
      <c r="E197"/>
      <c r="F197"/>
      <c r="G197"/>
      <c r="H197"/>
    </row>
    <row r="198" spans="2:8">
      <c r="B198"/>
      <c r="C198"/>
      <c r="D198"/>
      <c r="E198"/>
      <c r="F198"/>
      <c r="G198"/>
      <c r="H198"/>
    </row>
    <row r="199" spans="2:8">
      <c r="B199"/>
      <c r="C199"/>
      <c r="D199"/>
      <c r="E199"/>
      <c r="F199"/>
      <c r="G199"/>
      <c r="H199"/>
    </row>
    <row r="200" spans="2:8">
      <c r="B200"/>
      <c r="C200"/>
      <c r="D200"/>
      <c r="E200"/>
      <c r="F200"/>
      <c r="G200"/>
      <c r="H200"/>
    </row>
    <row r="201" spans="2:8">
      <c r="B201"/>
      <c r="C201"/>
      <c r="D201"/>
      <c r="E201"/>
      <c r="F201"/>
      <c r="G201"/>
      <c r="H201"/>
    </row>
    <row r="202" spans="2:8">
      <c r="B202"/>
      <c r="C202"/>
      <c r="D202"/>
      <c r="E202"/>
      <c r="F202"/>
      <c r="G202"/>
      <c r="H202"/>
    </row>
    <row r="203" spans="2:8">
      <c r="B203"/>
      <c r="C203"/>
      <c r="D203"/>
      <c r="E203"/>
      <c r="F203"/>
      <c r="G203"/>
      <c r="H203"/>
    </row>
    <row r="204" spans="2:8">
      <c r="B204"/>
      <c r="C204"/>
      <c r="D204"/>
      <c r="E204"/>
      <c r="F204"/>
      <c r="G204"/>
      <c r="H204"/>
    </row>
    <row r="205" spans="2:8">
      <c r="B205"/>
      <c r="C205"/>
      <c r="D205"/>
      <c r="E205"/>
      <c r="F205"/>
      <c r="G205"/>
      <c r="H205"/>
    </row>
    <row r="206" spans="2:8">
      <c r="B206"/>
      <c r="C206"/>
      <c r="D206"/>
      <c r="E206"/>
      <c r="F206"/>
      <c r="G206"/>
      <c r="H206"/>
    </row>
    <row r="207" spans="2:8">
      <c r="B207"/>
      <c r="C207"/>
      <c r="D207"/>
      <c r="E207"/>
      <c r="F207"/>
      <c r="G207"/>
      <c r="H207"/>
    </row>
    <row r="208" spans="2:8">
      <c r="B208"/>
      <c r="C208"/>
      <c r="D208"/>
      <c r="E208"/>
      <c r="F208"/>
      <c r="G208"/>
      <c r="H208"/>
    </row>
    <row r="209" spans="2:8">
      <c r="B209"/>
      <c r="C209"/>
      <c r="D209"/>
      <c r="E209"/>
      <c r="F209"/>
      <c r="G209"/>
      <c r="H209"/>
    </row>
    <row r="210" spans="2:8">
      <c r="B210"/>
      <c r="C210"/>
      <c r="D210"/>
      <c r="E210"/>
      <c r="F210"/>
      <c r="G210"/>
      <c r="H210"/>
    </row>
    <row r="211" spans="2:8">
      <c r="B211"/>
      <c r="C211"/>
      <c r="D211"/>
      <c r="E211"/>
      <c r="F211"/>
      <c r="G211"/>
      <c r="H211"/>
    </row>
    <row r="212" spans="2:8">
      <c r="B212"/>
      <c r="C212"/>
      <c r="D212"/>
      <c r="E212"/>
      <c r="F212"/>
      <c r="G212"/>
      <c r="H212"/>
    </row>
    <row r="213" spans="2:8">
      <c r="B213"/>
      <c r="C213"/>
      <c r="D213"/>
      <c r="E213"/>
      <c r="F213"/>
      <c r="G213"/>
      <c r="H213"/>
    </row>
    <row r="214" spans="2:8">
      <c r="B214"/>
      <c r="C214"/>
      <c r="D214"/>
      <c r="E214"/>
      <c r="F214"/>
      <c r="G214"/>
      <c r="H214"/>
    </row>
    <row r="215" spans="2:8">
      <c r="B215"/>
      <c r="C215"/>
      <c r="D215"/>
      <c r="E215"/>
      <c r="F215"/>
      <c r="G215"/>
      <c r="H215"/>
    </row>
    <row r="216" spans="2:8">
      <c r="B216"/>
      <c r="C216"/>
      <c r="D216"/>
      <c r="E216"/>
      <c r="F216"/>
      <c r="G216"/>
      <c r="H216"/>
    </row>
    <row r="217" spans="2:8">
      <c r="B217"/>
      <c r="C217"/>
      <c r="D217"/>
      <c r="E217"/>
      <c r="F217"/>
      <c r="G217"/>
      <c r="H217"/>
    </row>
    <row r="218" spans="2:8">
      <c r="B218"/>
      <c r="C218"/>
      <c r="D218"/>
      <c r="E218"/>
      <c r="F218"/>
      <c r="G218"/>
      <c r="H218"/>
    </row>
    <row r="219" spans="2:8">
      <c r="B219"/>
      <c r="C219"/>
      <c r="D219"/>
      <c r="E219"/>
      <c r="F219"/>
      <c r="G219"/>
      <c r="H219"/>
    </row>
    <row r="220" spans="2:8">
      <c r="B220"/>
      <c r="C220"/>
      <c r="D220"/>
      <c r="E220"/>
      <c r="F220"/>
      <c r="G220"/>
      <c r="H220"/>
    </row>
    <row r="221" spans="2:8">
      <c r="B221"/>
      <c r="C221"/>
      <c r="D221"/>
      <c r="E221"/>
      <c r="F221"/>
      <c r="G221"/>
      <c r="H221"/>
    </row>
    <row r="222" spans="2:8">
      <c r="B222"/>
      <c r="C222"/>
      <c r="D222"/>
      <c r="E222"/>
      <c r="F222"/>
      <c r="G222"/>
      <c r="H222"/>
    </row>
    <row r="223" spans="2:8">
      <c r="B223"/>
      <c r="C223"/>
      <c r="D223"/>
      <c r="E223"/>
      <c r="F223"/>
      <c r="G223"/>
      <c r="H223"/>
    </row>
    <row r="224" spans="2:8">
      <c r="B224"/>
      <c r="C224"/>
      <c r="D224"/>
      <c r="E224"/>
      <c r="F224"/>
      <c r="G224"/>
      <c r="H224"/>
    </row>
    <row r="225" spans="2:8">
      <c r="B225"/>
      <c r="C225"/>
      <c r="D225"/>
      <c r="E225"/>
      <c r="F225"/>
      <c r="G225"/>
      <c r="H225"/>
    </row>
    <row r="226" spans="2:8">
      <c r="B226"/>
      <c r="C226"/>
      <c r="D226"/>
      <c r="E226"/>
      <c r="F226"/>
      <c r="G226"/>
      <c r="H226"/>
    </row>
    <row r="227" spans="2:8">
      <c r="B227"/>
      <c r="C227"/>
      <c r="D227"/>
      <c r="E227"/>
      <c r="F227"/>
      <c r="G227"/>
      <c r="H227"/>
    </row>
  </sheetData>
  <sortState xmlns:xlrd2="http://schemas.microsoft.com/office/spreadsheetml/2017/richdata2" ref="B3:U48">
    <sortCondition ref="B3:B48"/>
  </sortState>
  <mergeCells count="1">
    <mergeCell ref="B1:H1"/>
  </mergeCells>
  <dataValidations count="1">
    <dataValidation allowBlank="1" showInputMessage="1" showErrorMessage="1" sqref="B18:B1048576 B9 B10:G10 B17:H17 B5:B6 B11:B16 B2:H4 H5:H6 F7:H7 B7:E8 H8:H16 H18:H53" xr:uid="{00000000-0002-0000-0800-000000000000}"/>
  </dataValidations>
  <pageMargins left="0.2" right="0.2" top="0.75" bottom="0.75" header="0.3" footer="0.3"/>
  <pageSetup paperSize="9" scale="52" fitToHeight="0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D102"/>
  <sheetViews>
    <sheetView workbookViewId="0">
      <pane xSplit="2" ySplit="2" topLeftCell="C7" activePane="bottomRight" state="frozen"/>
      <selection pane="topRight"/>
      <selection pane="bottomLeft"/>
      <selection pane="bottomRight" sqref="A1:H1"/>
    </sheetView>
  </sheetViews>
  <sheetFormatPr defaultColWidth="9" defaultRowHeight="21" outlineLevelCol="1"/>
  <cols>
    <col min="1" max="1" width="5.375" style="13" customWidth="1"/>
    <col min="2" max="5" width="30.625" style="13" customWidth="1" outlineLevel="1"/>
    <col min="6" max="6" width="49.625" style="13" bestFit="1" customWidth="1" outlineLevel="1"/>
    <col min="7" max="7" width="25.375" style="13" bestFit="1" customWidth="1" outlineLevel="1"/>
    <col min="8" max="8" width="14.375" style="13" customWidth="1" outlineLevel="1"/>
    <col min="9" max="9" width="9.125" style="47" customWidth="1"/>
    <col min="10" max="14" width="9.375" style="47" customWidth="1"/>
    <col min="15" max="17" width="9.125" style="47" customWidth="1"/>
    <col min="18" max="21" width="9" style="12" customWidth="1"/>
    <col min="22" max="23" width="9" style="47" customWidth="1"/>
    <col min="24" max="26" width="10.5" style="47" customWidth="1"/>
    <col min="27" max="27" width="9.5" style="47" bestFit="1" customWidth="1"/>
    <col min="28" max="30" width="11.375" style="47" bestFit="1" customWidth="1"/>
  </cols>
  <sheetData>
    <row r="1" spans="1:30">
      <c r="A1" s="644" t="s">
        <v>746</v>
      </c>
      <c r="B1" s="644"/>
      <c r="C1" s="644"/>
      <c r="D1" s="644"/>
      <c r="E1" s="644"/>
      <c r="F1" s="644"/>
      <c r="G1" s="644"/>
      <c r="H1" s="644"/>
    </row>
    <row r="2" spans="1:30" ht="30" customHeight="1">
      <c r="A2" s="5" t="s">
        <v>356</v>
      </c>
      <c r="B2" s="6" t="s">
        <v>357</v>
      </c>
      <c r="C2" s="6" t="s">
        <v>358</v>
      </c>
      <c r="D2" s="6" t="s">
        <v>359</v>
      </c>
      <c r="E2" s="6" t="s">
        <v>360</v>
      </c>
      <c r="F2" s="6" t="s">
        <v>361</v>
      </c>
      <c r="G2" s="6" t="s">
        <v>362</v>
      </c>
      <c r="H2" s="7" t="s">
        <v>363</v>
      </c>
      <c r="I2" s="50">
        <v>46145</v>
      </c>
      <c r="J2" s="50">
        <v>46152</v>
      </c>
      <c r="K2" s="50">
        <v>46159</v>
      </c>
      <c r="L2" s="50">
        <v>46166</v>
      </c>
      <c r="M2" s="50">
        <v>46173</v>
      </c>
      <c r="N2" s="50">
        <v>46180</v>
      </c>
      <c r="O2" s="50">
        <v>46187</v>
      </c>
      <c r="P2" s="11">
        <f>O2+7</f>
        <v>46194</v>
      </c>
      <c r="Q2" s="51">
        <f>P2+7</f>
        <v>46201</v>
      </c>
      <c r="R2" s="52">
        <f>Q2+7</f>
        <v>46208</v>
      </c>
      <c r="S2" s="52">
        <f t="shared" ref="S2:W2" si="0">R2+7</f>
        <v>46215</v>
      </c>
      <c r="T2" s="50">
        <f t="shared" si="0"/>
        <v>46222</v>
      </c>
      <c r="U2" s="50">
        <f t="shared" si="0"/>
        <v>46229</v>
      </c>
      <c r="V2" s="11">
        <f t="shared" si="0"/>
        <v>46236</v>
      </c>
      <c r="W2" s="11">
        <f t="shared" si="0"/>
        <v>46243</v>
      </c>
      <c r="X2" s="11">
        <f t="shared" ref="X2:Z2" si="1">W2+7</f>
        <v>46250</v>
      </c>
      <c r="Y2" s="11">
        <f t="shared" si="1"/>
        <v>46257</v>
      </c>
      <c r="Z2" s="11">
        <f t="shared" si="1"/>
        <v>46264</v>
      </c>
      <c r="AA2" s="11">
        <f>Z2+7</f>
        <v>46271</v>
      </c>
      <c r="AB2" s="11">
        <f t="shared" ref="AB2:AD2" si="2">AA2+7</f>
        <v>46278</v>
      </c>
      <c r="AC2" s="11">
        <f t="shared" si="2"/>
        <v>46285</v>
      </c>
      <c r="AD2" s="11">
        <f t="shared" si="2"/>
        <v>46292</v>
      </c>
    </row>
    <row r="3" spans="1:30" ht="30" customHeight="1">
      <c r="A3" s="13">
        <v>1</v>
      </c>
      <c r="B3" s="14" t="s">
        <v>365</v>
      </c>
      <c r="C3" s="14" t="s">
        <v>366</v>
      </c>
      <c r="D3" s="14" t="s">
        <v>367</v>
      </c>
      <c r="E3" s="14" t="s">
        <v>8</v>
      </c>
      <c r="F3" s="579" t="s">
        <v>9</v>
      </c>
      <c r="G3" s="553" t="s">
        <v>10</v>
      </c>
      <c r="H3" s="15" t="s">
        <v>11</v>
      </c>
      <c r="I3" s="56" t="s">
        <v>370</v>
      </c>
      <c r="J3" s="166"/>
      <c r="K3" s="56" t="s">
        <v>370</v>
      </c>
      <c r="L3" s="56"/>
      <c r="M3" s="56"/>
      <c r="N3" s="56"/>
      <c r="O3" s="56" t="s">
        <v>370</v>
      </c>
      <c r="P3" s="13" t="s">
        <v>370</v>
      </c>
      <c r="Q3" s="57" t="s">
        <v>370</v>
      </c>
      <c r="R3" s="58"/>
      <c r="S3" s="58"/>
      <c r="T3" s="56"/>
      <c r="U3" s="56"/>
      <c r="V3" s="13" t="s">
        <v>370</v>
      </c>
      <c r="W3" s="13"/>
      <c r="X3" s="13"/>
      <c r="Y3" s="13"/>
      <c r="Z3" s="13" t="s">
        <v>370</v>
      </c>
      <c r="AA3" s="13"/>
      <c r="AB3" s="13"/>
      <c r="AC3" s="13"/>
      <c r="AD3" s="13"/>
    </row>
    <row r="4" spans="1:30" ht="30" customHeight="1">
      <c r="B4" s="14" t="s">
        <v>777</v>
      </c>
      <c r="C4" s="14"/>
      <c r="D4" s="14"/>
      <c r="E4" s="14"/>
      <c r="F4" s="579"/>
      <c r="G4" s="553"/>
      <c r="H4" s="15" t="s">
        <v>11</v>
      </c>
      <c r="I4" s="56"/>
      <c r="J4" s="166"/>
      <c r="K4" s="56"/>
      <c r="L4" s="56"/>
      <c r="M4" s="56"/>
      <c r="N4" s="56"/>
      <c r="O4" s="56"/>
      <c r="P4" s="13"/>
      <c r="Q4" s="57"/>
      <c r="R4" s="58"/>
      <c r="S4" s="58"/>
      <c r="T4" s="56"/>
      <c r="U4" s="56"/>
      <c r="V4" s="13"/>
      <c r="W4" s="13"/>
      <c r="X4" s="13"/>
      <c r="Y4" s="13"/>
      <c r="Z4" s="13" t="s">
        <v>370</v>
      </c>
      <c r="AA4" s="13"/>
      <c r="AB4" s="13"/>
      <c r="AC4" s="13"/>
      <c r="AD4" s="13"/>
    </row>
    <row r="5" spans="1:30" ht="30" customHeight="1">
      <c r="A5" s="13">
        <f>A3+1</f>
        <v>2</v>
      </c>
      <c r="B5" s="14" t="s">
        <v>689</v>
      </c>
      <c r="C5" s="14"/>
      <c r="D5" s="14"/>
      <c r="E5" s="14"/>
      <c r="F5" s="579"/>
      <c r="G5" s="14"/>
      <c r="H5" s="22" t="s">
        <v>11</v>
      </c>
      <c r="I5" s="56"/>
      <c r="J5" s="56"/>
      <c r="K5" s="56"/>
      <c r="L5" s="56"/>
      <c r="M5" s="56"/>
      <c r="N5" s="56"/>
      <c r="O5" s="56"/>
      <c r="P5" s="13"/>
      <c r="Q5" s="57"/>
      <c r="R5" s="58"/>
      <c r="S5" s="58"/>
      <c r="T5" s="56"/>
      <c r="U5" s="56" t="s">
        <v>370</v>
      </c>
      <c r="V5" s="13"/>
      <c r="W5" s="13"/>
      <c r="X5" s="13"/>
      <c r="Y5" s="13"/>
      <c r="Z5" s="13"/>
      <c r="AA5" s="13"/>
      <c r="AB5" s="13"/>
      <c r="AC5" s="13"/>
      <c r="AD5" s="13"/>
    </row>
    <row r="6" spans="1:30" ht="30" customHeight="1">
      <c r="A6" s="13">
        <f t="shared" ref="A6:A39" si="3">A5+1</f>
        <v>3</v>
      </c>
      <c r="B6" s="23" t="s">
        <v>427</v>
      </c>
      <c r="C6" s="23" t="s">
        <v>428</v>
      </c>
      <c r="D6" s="23" t="s">
        <v>373</v>
      </c>
      <c r="E6" s="23" t="s">
        <v>429</v>
      </c>
      <c r="F6" s="582" t="s">
        <v>430</v>
      </c>
      <c r="G6" s="24" t="s">
        <v>431</v>
      </c>
      <c r="H6" s="15" t="s">
        <v>11</v>
      </c>
      <c r="I6" s="56" t="s">
        <v>370</v>
      </c>
      <c r="J6" s="56"/>
      <c r="K6" s="56" t="s">
        <v>370</v>
      </c>
      <c r="L6" s="56"/>
      <c r="M6" s="56"/>
      <c r="N6" s="56"/>
      <c r="O6" s="56"/>
      <c r="P6" s="13"/>
      <c r="Q6" s="57"/>
      <c r="R6" s="58"/>
      <c r="S6" s="58"/>
      <c r="T6" s="56"/>
      <c r="U6" s="56"/>
      <c r="V6" s="13"/>
      <c r="W6" s="13"/>
      <c r="X6" s="13"/>
      <c r="Y6" s="13"/>
      <c r="Z6" s="13" t="s">
        <v>370</v>
      </c>
      <c r="AA6" s="13" t="s">
        <v>370</v>
      </c>
      <c r="AB6" s="13"/>
      <c r="AC6" s="13"/>
      <c r="AD6" s="13"/>
    </row>
    <row r="7" spans="1:30" ht="30" customHeight="1">
      <c r="A7" s="13">
        <f t="shared" si="3"/>
        <v>4</v>
      </c>
      <c r="B7" s="14" t="s">
        <v>452</v>
      </c>
      <c r="C7" s="14"/>
      <c r="D7" s="14"/>
      <c r="E7" s="14"/>
      <c r="F7" s="579"/>
      <c r="G7" s="14"/>
      <c r="H7" s="22" t="s">
        <v>11</v>
      </c>
      <c r="I7" s="56"/>
      <c r="J7" s="56"/>
      <c r="K7" s="56"/>
      <c r="L7" s="56"/>
      <c r="M7" s="56"/>
      <c r="N7" s="56"/>
      <c r="O7" s="56"/>
      <c r="P7" s="13"/>
      <c r="Q7" s="57"/>
      <c r="R7" s="58" t="s">
        <v>370</v>
      </c>
      <c r="S7" s="58" t="s">
        <v>370</v>
      </c>
      <c r="T7" s="56" t="s">
        <v>370</v>
      </c>
      <c r="U7" s="56"/>
      <c r="V7" s="13" t="s">
        <v>370</v>
      </c>
      <c r="W7" s="13"/>
      <c r="X7" s="13" t="s">
        <v>370</v>
      </c>
      <c r="Y7" s="13" t="s">
        <v>370</v>
      </c>
      <c r="Z7" s="13" t="s">
        <v>370</v>
      </c>
      <c r="AA7" s="13"/>
      <c r="AB7" s="13"/>
      <c r="AC7" s="13"/>
      <c r="AD7" s="13"/>
    </row>
    <row r="8" spans="1:30" ht="30" customHeight="1">
      <c r="A8" s="13">
        <f t="shared" si="3"/>
        <v>5</v>
      </c>
      <c r="B8" s="23" t="s">
        <v>399</v>
      </c>
      <c r="C8" s="23" t="s">
        <v>400</v>
      </c>
      <c r="D8" s="23" t="s">
        <v>367</v>
      </c>
      <c r="E8" s="23" t="s">
        <v>46</v>
      </c>
      <c r="F8" s="579" t="s">
        <v>47</v>
      </c>
      <c r="G8" s="23" t="s">
        <v>48</v>
      </c>
      <c r="H8" s="22" t="s">
        <v>11</v>
      </c>
      <c r="I8" s="56" t="s">
        <v>370</v>
      </c>
      <c r="J8" s="56"/>
      <c r="K8" s="56"/>
      <c r="L8" s="56"/>
      <c r="M8" s="56"/>
      <c r="N8" s="56"/>
      <c r="O8" s="56"/>
      <c r="P8" s="13"/>
      <c r="Q8" s="57"/>
      <c r="R8" s="58"/>
      <c r="S8" s="58"/>
      <c r="T8" s="56"/>
      <c r="U8" s="56"/>
      <c r="V8" s="13"/>
      <c r="W8" s="13"/>
      <c r="X8" s="13"/>
      <c r="Y8" s="13"/>
      <c r="Z8" s="13"/>
      <c r="AA8" s="13"/>
      <c r="AB8" s="13"/>
      <c r="AC8" s="13"/>
      <c r="AD8" s="13"/>
    </row>
    <row r="9" spans="1:30" ht="30" customHeight="1">
      <c r="A9" s="13">
        <f t="shared" si="3"/>
        <v>6</v>
      </c>
      <c r="B9" s="25" t="s">
        <v>371</v>
      </c>
      <c r="C9" s="25" t="s">
        <v>372</v>
      </c>
      <c r="D9" s="25" t="s">
        <v>373</v>
      </c>
      <c r="E9" s="25" t="s">
        <v>12</v>
      </c>
      <c r="F9" s="582" t="s">
        <v>13</v>
      </c>
      <c r="G9" s="554" t="s">
        <v>14</v>
      </c>
      <c r="H9" s="26" t="s">
        <v>11</v>
      </c>
      <c r="I9" s="56"/>
      <c r="J9" s="56"/>
      <c r="K9" s="56" t="s">
        <v>370</v>
      </c>
      <c r="L9" s="56"/>
      <c r="M9" s="56" t="s">
        <v>370</v>
      </c>
      <c r="N9" s="56" t="s">
        <v>370</v>
      </c>
      <c r="O9" s="56" t="s">
        <v>370</v>
      </c>
      <c r="P9" s="13" t="s">
        <v>370</v>
      </c>
      <c r="Q9" s="57" t="s">
        <v>370</v>
      </c>
      <c r="R9" s="58" t="s">
        <v>370</v>
      </c>
      <c r="S9" s="58" t="s">
        <v>370</v>
      </c>
      <c r="T9" s="56"/>
      <c r="U9" s="56" t="s">
        <v>370</v>
      </c>
      <c r="V9" s="13"/>
      <c r="W9" s="13" t="s">
        <v>370</v>
      </c>
      <c r="X9" s="13" t="s">
        <v>370</v>
      </c>
      <c r="Y9" s="13" t="s">
        <v>370</v>
      </c>
      <c r="Z9" s="13" t="s">
        <v>370</v>
      </c>
      <c r="AA9" s="13" t="s">
        <v>370</v>
      </c>
      <c r="AB9" s="13"/>
      <c r="AC9" s="13"/>
      <c r="AD9" s="13"/>
    </row>
    <row r="10" spans="1:30" ht="30" customHeight="1">
      <c r="A10" s="13">
        <f t="shared" si="3"/>
        <v>7</v>
      </c>
      <c r="B10" s="14" t="s">
        <v>385</v>
      </c>
      <c r="C10" s="14" t="s">
        <v>386</v>
      </c>
      <c r="D10" s="14" t="s">
        <v>378</v>
      </c>
      <c r="E10" s="14" t="s">
        <v>29</v>
      </c>
      <c r="F10" s="579" t="s">
        <v>30</v>
      </c>
      <c r="G10" s="22" t="s">
        <v>31</v>
      </c>
      <c r="H10" s="27" t="s">
        <v>11</v>
      </c>
      <c r="I10" s="56" t="s">
        <v>370</v>
      </c>
      <c r="J10" s="56"/>
      <c r="K10" s="56"/>
      <c r="L10" s="56"/>
      <c r="M10" s="56" t="s">
        <v>370</v>
      </c>
      <c r="N10" s="56"/>
      <c r="O10" s="56"/>
      <c r="P10" s="13"/>
      <c r="Q10" s="57"/>
      <c r="R10" s="58"/>
      <c r="S10" s="58"/>
      <c r="T10" s="56"/>
      <c r="U10" s="56"/>
      <c r="V10" s="13" t="s">
        <v>370</v>
      </c>
      <c r="W10" s="13" t="s">
        <v>370</v>
      </c>
      <c r="X10" s="13" t="s">
        <v>370</v>
      </c>
      <c r="Y10" s="13"/>
      <c r="Z10" s="13"/>
      <c r="AA10" s="13"/>
      <c r="AB10" s="13"/>
      <c r="AC10" s="13"/>
      <c r="AD10" s="13"/>
    </row>
    <row r="11" spans="1:30" ht="30" customHeight="1">
      <c r="A11" s="13">
        <f t="shared" si="3"/>
        <v>8</v>
      </c>
      <c r="B11" s="23" t="s">
        <v>410</v>
      </c>
      <c r="C11" s="23" t="s">
        <v>411</v>
      </c>
      <c r="D11" s="23" t="s">
        <v>404</v>
      </c>
      <c r="E11" s="23" t="s">
        <v>61</v>
      </c>
      <c r="F11" s="583" t="s">
        <v>62</v>
      </c>
      <c r="G11" s="23" t="s">
        <v>63</v>
      </c>
      <c r="H11" s="28" t="s">
        <v>11</v>
      </c>
      <c r="I11" s="56"/>
      <c r="J11" s="56"/>
      <c r="K11" s="56" t="s">
        <v>370</v>
      </c>
      <c r="L11" s="56" t="s">
        <v>370</v>
      </c>
      <c r="M11" s="56"/>
      <c r="N11" s="56"/>
      <c r="O11" s="56"/>
      <c r="P11" s="13"/>
      <c r="Q11" s="57"/>
      <c r="R11" s="58"/>
      <c r="S11" s="58"/>
      <c r="T11" s="56"/>
      <c r="U11" s="56"/>
      <c r="V11" s="13" t="s">
        <v>370</v>
      </c>
      <c r="W11" s="13"/>
      <c r="X11" s="13" t="s">
        <v>370</v>
      </c>
      <c r="Y11" s="13" t="s">
        <v>370</v>
      </c>
      <c r="Z11" s="13"/>
      <c r="AA11" s="13" t="s">
        <v>370</v>
      </c>
      <c r="AB11" s="13"/>
      <c r="AC11" s="13"/>
      <c r="AD11" s="13"/>
    </row>
    <row r="12" spans="1:30" ht="30" customHeight="1">
      <c r="A12" s="13">
        <f t="shared" si="3"/>
        <v>9</v>
      </c>
      <c r="B12" s="14" t="s">
        <v>410</v>
      </c>
      <c r="C12" s="14" t="s">
        <v>388</v>
      </c>
      <c r="D12" s="14" t="s">
        <v>367</v>
      </c>
      <c r="E12" s="14" t="s">
        <v>32</v>
      </c>
      <c r="F12" s="579" t="s">
        <v>33</v>
      </c>
      <c r="G12" s="29">
        <v>766013733</v>
      </c>
      <c r="H12" s="22" t="s">
        <v>11</v>
      </c>
      <c r="I12" s="56"/>
      <c r="J12" s="56"/>
      <c r="K12" s="56" t="s">
        <v>370</v>
      </c>
      <c r="L12" s="56"/>
      <c r="M12" s="56"/>
      <c r="N12" s="56"/>
      <c r="O12" s="56" t="s">
        <v>370</v>
      </c>
      <c r="P12" s="13"/>
      <c r="Q12" s="57"/>
      <c r="R12" s="58"/>
      <c r="S12" s="58"/>
      <c r="T12" s="56"/>
      <c r="U12" s="56"/>
      <c r="V12" s="13"/>
      <c r="W12" s="13"/>
      <c r="X12" s="13"/>
      <c r="Y12" s="13"/>
      <c r="Z12" s="13"/>
      <c r="AA12" s="13"/>
      <c r="AB12" s="13"/>
      <c r="AC12" s="13"/>
      <c r="AD12" s="13"/>
    </row>
    <row r="13" spans="1:30" ht="30" customHeight="1">
      <c r="A13" s="13">
        <f t="shared" si="3"/>
        <v>10</v>
      </c>
      <c r="B13" s="23" t="s">
        <v>383</v>
      </c>
      <c r="C13" s="23" t="s">
        <v>384</v>
      </c>
      <c r="D13" s="23" t="s">
        <v>367</v>
      </c>
      <c r="E13" s="23" t="s">
        <v>26</v>
      </c>
      <c r="F13" s="579" t="s">
        <v>27</v>
      </c>
      <c r="G13" s="555" t="s">
        <v>28</v>
      </c>
      <c r="H13" s="15" t="s">
        <v>11</v>
      </c>
      <c r="I13" s="56" t="s">
        <v>370</v>
      </c>
      <c r="J13" s="56"/>
      <c r="K13" s="56" t="s">
        <v>370</v>
      </c>
      <c r="L13" s="56"/>
      <c r="M13" s="56" t="s">
        <v>370</v>
      </c>
      <c r="N13" s="56" t="s">
        <v>370</v>
      </c>
      <c r="O13" s="56" t="s">
        <v>370</v>
      </c>
      <c r="P13" s="13" t="s">
        <v>370</v>
      </c>
      <c r="Q13" s="57"/>
      <c r="R13" s="58"/>
      <c r="S13" s="58"/>
      <c r="T13" s="56"/>
      <c r="U13" s="56"/>
      <c r="V13" s="13"/>
      <c r="W13" s="13"/>
      <c r="X13" s="13" t="s">
        <v>370</v>
      </c>
      <c r="Y13" s="13"/>
      <c r="Z13" s="13" t="s">
        <v>370</v>
      </c>
      <c r="AA13" s="13" t="s">
        <v>370</v>
      </c>
      <c r="AB13" s="13"/>
      <c r="AC13" s="13"/>
      <c r="AD13" s="13"/>
    </row>
    <row r="14" spans="1:30" ht="30" customHeight="1">
      <c r="A14" s="13">
        <f t="shared" si="3"/>
        <v>11</v>
      </c>
      <c r="B14" s="23" t="s">
        <v>417</v>
      </c>
      <c r="C14" s="23" t="s">
        <v>418</v>
      </c>
      <c r="D14" s="23" t="s">
        <v>378</v>
      </c>
      <c r="E14" s="23" t="s">
        <v>74</v>
      </c>
      <c r="F14" s="579" t="s">
        <v>75</v>
      </c>
      <c r="G14" s="555" t="s">
        <v>76</v>
      </c>
      <c r="H14" s="15" t="s">
        <v>11</v>
      </c>
      <c r="I14" s="56"/>
      <c r="J14" s="56"/>
      <c r="K14" s="56"/>
      <c r="L14" s="56"/>
      <c r="M14" s="56"/>
      <c r="N14" s="56"/>
      <c r="O14" s="56"/>
      <c r="P14" s="13"/>
      <c r="Q14" s="57"/>
      <c r="R14" s="58"/>
      <c r="S14" s="58"/>
      <c r="T14" s="56"/>
      <c r="U14" s="56"/>
      <c r="V14" s="13"/>
      <c r="W14" s="13"/>
      <c r="X14" s="13"/>
      <c r="Y14" s="13"/>
      <c r="Z14" s="13"/>
      <c r="AA14" s="13"/>
      <c r="AB14" s="13"/>
      <c r="AC14" s="13"/>
      <c r="AD14" s="13"/>
    </row>
    <row r="15" spans="1:30" ht="30" customHeight="1">
      <c r="A15" s="13">
        <f t="shared" si="3"/>
        <v>12</v>
      </c>
      <c r="B15" s="23" t="s">
        <v>450</v>
      </c>
      <c r="C15" s="23"/>
      <c r="D15" s="23"/>
      <c r="E15" s="23"/>
      <c r="F15" s="579"/>
      <c r="G15" s="23"/>
      <c r="H15" s="22" t="s">
        <v>11</v>
      </c>
      <c r="I15" s="56"/>
      <c r="J15" s="56"/>
      <c r="K15" s="56"/>
      <c r="L15" s="56"/>
      <c r="M15" s="56"/>
      <c r="N15" s="56"/>
      <c r="O15" s="56" t="s">
        <v>370</v>
      </c>
      <c r="P15" s="13"/>
      <c r="Q15" s="57"/>
      <c r="R15" s="58" t="s">
        <v>370</v>
      </c>
      <c r="S15" s="58"/>
      <c r="T15" s="56" t="s">
        <v>370</v>
      </c>
      <c r="U15" s="56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ht="30" customHeight="1">
      <c r="A16" s="13">
        <f t="shared" si="3"/>
        <v>13</v>
      </c>
      <c r="B16" s="25" t="s">
        <v>374</v>
      </c>
      <c r="C16" s="25" t="s">
        <v>375</v>
      </c>
      <c r="D16" s="25" t="s">
        <v>367</v>
      </c>
      <c r="E16" s="32" t="s">
        <v>15</v>
      </c>
      <c r="F16" s="580" t="s">
        <v>16</v>
      </c>
      <c r="G16" s="33" t="s">
        <v>17</v>
      </c>
      <c r="H16" s="15" t="s">
        <v>11</v>
      </c>
      <c r="I16" s="56" t="s">
        <v>370</v>
      </c>
      <c r="J16" s="56"/>
      <c r="K16" s="56"/>
      <c r="L16" s="56"/>
      <c r="M16" s="56"/>
      <c r="N16" s="56"/>
      <c r="O16" s="56"/>
      <c r="P16" s="13"/>
      <c r="Q16" s="57"/>
      <c r="R16" s="58"/>
      <c r="S16" s="58"/>
      <c r="T16" s="56"/>
      <c r="U16" s="56" t="s">
        <v>370</v>
      </c>
      <c r="V16" s="13" t="s">
        <v>370</v>
      </c>
      <c r="W16" s="13" t="s">
        <v>370</v>
      </c>
      <c r="X16" s="13" t="s">
        <v>370</v>
      </c>
      <c r="Y16" s="13" t="s">
        <v>370</v>
      </c>
      <c r="Z16" s="13" t="s">
        <v>370</v>
      </c>
      <c r="AA16" s="13"/>
      <c r="AB16" s="13"/>
      <c r="AC16" s="13"/>
      <c r="AD16" s="13"/>
    </row>
    <row r="17" spans="1:30" ht="30" customHeight="1">
      <c r="A17" s="13">
        <f t="shared" si="3"/>
        <v>14</v>
      </c>
      <c r="B17" s="14" t="s">
        <v>440</v>
      </c>
      <c r="C17" s="14" t="s">
        <v>441</v>
      </c>
      <c r="D17" s="14" t="s">
        <v>378</v>
      </c>
      <c r="E17" s="14" t="s">
        <v>442</v>
      </c>
      <c r="F17" s="581" t="s">
        <v>443</v>
      </c>
      <c r="G17" s="639" t="s">
        <v>444</v>
      </c>
      <c r="H17" s="22" t="s">
        <v>11</v>
      </c>
      <c r="I17" s="56" t="s">
        <v>370</v>
      </c>
      <c r="J17" s="56"/>
      <c r="K17" s="56" t="s">
        <v>370</v>
      </c>
      <c r="L17" s="56"/>
      <c r="M17" s="56"/>
      <c r="N17" s="56"/>
      <c r="O17" s="56"/>
      <c r="P17" s="13"/>
      <c r="Q17" s="57"/>
      <c r="R17" s="58"/>
      <c r="S17" s="58"/>
      <c r="T17" s="56"/>
      <c r="U17" s="56"/>
      <c r="V17" s="13" t="s">
        <v>370</v>
      </c>
      <c r="W17" s="13"/>
      <c r="X17" s="13"/>
      <c r="Y17" s="13"/>
      <c r="Z17" s="13"/>
      <c r="AA17" s="13"/>
      <c r="AB17" s="13"/>
      <c r="AC17" s="13"/>
      <c r="AD17" s="13"/>
    </row>
    <row r="18" spans="1:30" ht="30" customHeight="1">
      <c r="A18" s="13">
        <f t="shared" si="3"/>
        <v>15</v>
      </c>
      <c r="B18" s="23" t="s">
        <v>419</v>
      </c>
      <c r="C18" s="23" t="s">
        <v>418</v>
      </c>
      <c r="D18" s="23" t="s">
        <v>378</v>
      </c>
      <c r="E18" s="23" t="s">
        <v>74</v>
      </c>
      <c r="F18" s="582" t="s">
        <v>75</v>
      </c>
      <c r="G18" s="555" t="s">
        <v>76</v>
      </c>
      <c r="H18" s="35" t="s">
        <v>11</v>
      </c>
      <c r="I18" s="56"/>
      <c r="J18" s="56"/>
      <c r="K18" s="56"/>
      <c r="L18" s="56"/>
      <c r="M18" s="56"/>
      <c r="N18" s="56"/>
      <c r="O18" s="56"/>
      <c r="P18" s="13"/>
      <c r="Q18" s="57"/>
      <c r="R18" s="58"/>
      <c r="S18" s="58"/>
      <c r="T18" s="56"/>
      <c r="U18" s="56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 ht="30" customHeight="1">
      <c r="A19" s="13">
        <f t="shared" si="3"/>
        <v>16</v>
      </c>
      <c r="B19" s="14" t="s">
        <v>387</v>
      </c>
      <c r="C19" s="14" t="s">
        <v>388</v>
      </c>
      <c r="D19" s="14" t="s">
        <v>378</v>
      </c>
      <c r="E19" s="14" t="s">
        <v>32</v>
      </c>
      <c r="F19" s="582" t="s">
        <v>33</v>
      </c>
      <c r="G19" s="29">
        <v>766013733</v>
      </c>
      <c r="H19" s="36" t="s">
        <v>11</v>
      </c>
      <c r="I19" s="56"/>
      <c r="J19" s="56"/>
      <c r="K19" s="56" t="s">
        <v>370</v>
      </c>
      <c r="L19" s="56" t="s">
        <v>370</v>
      </c>
      <c r="M19" s="56"/>
      <c r="N19" s="56"/>
      <c r="O19" s="56" t="s">
        <v>370</v>
      </c>
      <c r="P19" s="13"/>
      <c r="Q19" s="57"/>
      <c r="R19" s="58"/>
      <c r="S19" s="58" t="s">
        <v>370</v>
      </c>
      <c r="T19" s="56"/>
      <c r="U19" s="56"/>
      <c r="V19" s="13" t="s">
        <v>370</v>
      </c>
      <c r="W19" s="13"/>
      <c r="X19" s="13"/>
      <c r="Y19" s="13"/>
      <c r="Z19" s="13"/>
      <c r="AA19" s="13"/>
      <c r="AB19" s="13"/>
      <c r="AC19" s="13"/>
      <c r="AD19" s="13"/>
    </row>
    <row r="20" spans="1:30" ht="30" customHeight="1">
      <c r="A20" s="13">
        <f t="shared" si="3"/>
        <v>17</v>
      </c>
      <c r="B20" s="23" t="s">
        <v>405</v>
      </c>
      <c r="C20" s="23" t="s">
        <v>386</v>
      </c>
      <c r="D20" s="23" t="s">
        <v>404</v>
      </c>
      <c r="E20" s="23" t="s">
        <v>29</v>
      </c>
      <c r="F20" s="579" t="s">
        <v>30</v>
      </c>
      <c r="G20" s="23" t="s">
        <v>31</v>
      </c>
      <c r="H20" s="36" t="s">
        <v>11</v>
      </c>
      <c r="I20" s="56" t="s">
        <v>370</v>
      </c>
      <c r="J20" s="56"/>
      <c r="K20" s="56"/>
      <c r="L20" s="56" t="s">
        <v>370</v>
      </c>
      <c r="M20" s="56" t="s">
        <v>370</v>
      </c>
      <c r="N20" s="56"/>
      <c r="O20" s="56"/>
      <c r="P20" s="13"/>
      <c r="Q20" s="57"/>
      <c r="R20" s="58"/>
      <c r="S20" s="58"/>
      <c r="T20" s="56"/>
      <c r="U20" s="56"/>
      <c r="V20" s="13" t="s">
        <v>370</v>
      </c>
      <c r="W20" s="13" t="s">
        <v>370</v>
      </c>
      <c r="X20" s="13" t="s">
        <v>370</v>
      </c>
      <c r="Y20" s="13" t="s">
        <v>370</v>
      </c>
      <c r="Z20" s="13"/>
      <c r="AA20" s="13" t="s">
        <v>370</v>
      </c>
      <c r="AB20" s="13"/>
      <c r="AC20" s="13"/>
      <c r="AD20" s="13"/>
    </row>
    <row r="21" spans="1:30" ht="30" customHeight="1">
      <c r="A21" s="13">
        <f t="shared" si="3"/>
        <v>18</v>
      </c>
      <c r="B21" s="23" t="s">
        <v>397</v>
      </c>
      <c r="C21" s="23" t="s">
        <v>414</v>
      </c>
      <c r="D21" s="23" t="s">
        <v>404</v>
      </c>
      <c r="E21" s="23" t="s">
        <v>68</v>
      </c>
      <c r="F21" s="581" t="s">
        <v>69</v>
      </c>
      <c r="G21" s="37" t="s">
        <v>70</v>
      </c>
      <c r="H21" s="35" t="s">
        <v>11</v>
      </c>
      <c r="I21" s="56"/>
      <c r="J21" s="56"/>
      <c r="K21" s="56"/>
      <c r="L21" s="56"/>
      <c r="M21" s="56"/>
      <c r="N21" s="56" t="s">
        <v>370</v>
      </c>
      <c r="O21" s="56"/>
      <c r="P21" s="13"/>
      <c r="Q21" s="57"/>
      <c r="R21" s="58"/>
      <c r="S21" s="58" t="s">
        <v>370</v>
      </c>
      <c r="T21" s="56" t="s">
        <v>370</v>
      </c>
      <c r="U21" s="56" t="s">
        <v>370</v>
      </c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ht="30" customHeight="1">
      <c r="A22" s="13">
        <f t="shared" si="3"/>
        <v>19</v>
      </c>
      <c r="B22" s="23" t="s">
        <v>397</v>
      </c>
      <c r="C22" s="23" t="s">
        <v>398</v>
      </c>
      <c r="D22" s="23" t="s">
        <v>367</v>
      </c>
      <c r="E22" s="23"/>
      <c r="F22" s="581"/>
      <c r="G22" s="37"/>
      <c r="H22" s="35" t="s">
        <v>11</v>
      </c>
      <c r="I22" s="56"/>
      <c r="J22" s="56"/>
      <c r="K22" s="56"/>
      <c r="L22" s="56"/>
      <c r="M22" s="56"/>
      <c r="N22" s="56"/>
      <c r="O22" s="56"/>
      <c r="P22" s="13"/>
      <c r="Q22" s="57"/>
      <c r="R22" s="58"/>
      <c r="S22" s="58"/>
      <c r="T22" s="56"/>
      <c r="U22" s="56"/>
      <c r="V22" s="13"/>
      <c r="W22" s="13" t="s">
        <v>370</v>
      </c>
      <c r="X22" s="13"/>
      <c r="Y22" s="13"/>
      <c r="Z22" s="13"/>
      <c r="AA22" s="13"/>
      <c r="AB22" s="13"/>
      <c r="AC22" s="13"/>
      <c r="AD22" s="13"/>
    </row>
    <row r="23" spans="1:30" ht="30" customHeight="1">
      <c r="A23" s="13">
        <f t="shared" si="3"/>
        <v>20</v>
      </c>
      <c r="B23" s="23" t="s">
        <v>397</v>
      </c>
      <c r="C23" s="23" t="s">
        <v>758</v>
      </c>
      <c r="D23" s="636" t="s">
        <v>367</v>
      </c>
      <c r="E23" s="637" t="s">
        <v>780</v>
      </c>
      <c r="F23" s="583" t="s">
        <v>778</v>
      </c>
      <c r="G23" s="583" t="s">
        <v>779</v>
      </c>
      <c r="H23" s="35" t="s">
        <v>11</v>
      </c>
      <c r="I23" s="56"/>
      <c r="J23" s="56"/>
      <c r="K23" s="56"/>
      <c r="L23" s="56"/>
      <c r="M23" s="56"/>
      <c r="N23" s="56"/>
      <c r="O23" s="56"/>
      <c r="P23" s="13"/>
      <c r="Q23" s="57"/>
      <c r="R23" s="58"/>
      <c r="S23" s="58"/>
      <c r="T23" s="56"/>
      <c r="U23" s="56"/>
      <c r="V23" s="13"/>
      <c r="W23" s="13" t="s">
        <v>370</v>
      </c>
      <c r="X23" s="13" t="s">
        <v>370</v>
      </c>
      <c r="Y23" s="13" t="s">
        <v>370</v>
      </c>
      <c r="Z23" s="13" t="s">
        <v>370</v>
      </c>
      <c r="AA23" s="13" t="s">
        <v>370</v>
      </c>
      <c r="AB23" s="13"/>
      <c r="AC23" s="13"/>
      <c r="AD23" s="13"/>
    </row>
    <row r="24" spans="1:30" ht="30" customHeight="1">
      <c r="A24" s="13">
        <f t="shared" si="3"/>
        <v>21</v>
      </c>
      <c r="B24" s="23" t="s">
        <v>415</v>
      </c>
      <c r="C24" s="23" t="s">
        <v>416</v>
      </c>
      <c r="D24" s="23" t="s">
        <v>378</v>
      </c>
      <c r="E24" s="23" t="s">
        <v>71</v>
      </c>
      <c r="F24" s="582" t="s">
        <v>72</v>
      </c>
      <c r="G24" s="555" t="s">
        <v>73</v>
      </c>
      <c r="H24" s="35" t="s">
        <v>11</v>
      </c>
      <c r="I24" s="56"/>
      <c r="J24" s="56"/>
      <c r="K24" s="56"/>
      <c r="L24" s="56"/>
      <c r="M24" s="56"/>
      <c r="N24" s="56"/>
      <c r="O24" s="56"/>
      <c r="P24" s="13"/>
      <c r="Q24" s="57" t="s">
        <v>370</v>
      </c>
      <c r="R24" s="58"/>
      <c r="S24" s="58"/>
      <c r="T24" s="56"/>
      <c r="U24" s="56" t="s">
        <v>370</v>
      </c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ht="30" customHeight="1">
      <c r="A25" s="13">
        <f t="shared" si="3"/>
        <v>22</v>
      </c>
      <c r="B25" s="23" t="s">
        <v>415</v>
      </c>
      <c r="C25" s="23" t="s">
        <v>420</v>
      </c>
      <c r="D25" s="23" t="s">
        <v>378</v>
      </c>
      <c r="E25" s="23" t="s">
        <v>77</v>
      </c>
      <c r="F25" s="581" t="s">
        <v>78</v>
      </c>
      <c r="G25" s="37" t="s">
        <v>79</v>
      </c>
      <c r="H25" s="35" t="s">
        <v>11</v>
      </c>
      <c r="I25" s="56"/>
      <c r="J25" s="56"/>
      <c r="K25" s="56"/>
      <c r="L25" s="56"/>
      <c r="M25" s="56"/>
      <c r="N25" s="56"/>
      <c r="O25" s="56"/>
      <c r="P25" s="13"/>
      <c r="Q25" s="57"/>
      <c r="R25" s="58"/>
      <c r="S25" s="58"/>
      <c r="T25" s="56"/>
      <c r="U25" s="56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 ht="30" customHeight="1">
      <c r="A26" s="13">
        <f t="shared" si="3"/>
        <v>23</v>
      </c>
      <c r="B26" s="14" t="s">
        <v>415</v>
      </c>
      <c r="C26" s="14" t="s">
        <v>372</v>
      </c>
      <c r="D26" s="14" t="s">
        <v>373</v>
      </c>
      <c r="E26" s="579" t="s">
        <v>12</v>
      </c>
      <c r="F26" s="579" t="s">
        <v>64</v>
      </c>
      <c r="G26" s="638" t="s">
        <v>14</v>
      </c>
      <c r="H26" s="36" t="s">
        <v>11</v>
      </c>
      <c r="I26" s="56"/>
      <c r="J26" s="56"/>
      <c r="K26" s="56"/>
      <c r="L26" s="56"/>
      <c r="M26" s="56"/>
      <c r="N26" s="56"/>
      <c r="O26" s="56"/>
      <c r="P26" s="13" t="s">
        <v>370</v>
      </c>
      <c r="Q26" s="57"/>
      <c r="R26" s="58" t="s">
        <v>370</v>
      </c>
      <c r="S26" s="58" t="s">
        <v>370</v>
      </c>
      <c r="T26" s="56"/>
      <c r="U26" s="56" t="s">
        <v>370</v>
      </c>
      <c r="V26" s="13"/>
      <c r="W26" s="13"/>
      <c r="X26" s="13" t="s">
        <v>370</v>
      </c>
      <c r="Y26" s="13" t="s">
        <v>370</v>
      </c>
      <c r="Z26" s="13" t="s">
        <v>370</v>
      </c>
      <c r="AA26" s="13" t="s">
        <v>370</v>
      </c>
      <c r="AB26" s="13"/>
      <c r="AC26" s="13"/>
      <c r="AD26" s="13"/>
    </row>
    <row r="27" spans="1:30" ht="30" customHeight="1">
      <c r="A27" s="13">
        <f t="shared" si="3"/>
        <v>24</v>
      </c>
      <c r="B27" s="23" t="s">
        <v>432</v>
      </c>
      <c r="C27" s="23" t="s">
        <v>433</v>
      </c>
      <c r="D27" s="23" t="s">
        <v>404</v>
      </c>
      <c r="E27" s="23" t="s">
        <v>434</v>
      </c>
      <c r="F27" s="579" t="s">
        <v>435</v>
      </c>
      <c r="G27" s="37" t="s">
        <v>436</v>
      </c>
      <c r="H27" s="35" t="s">
        <v>11</v>
      </c>
      <c r="I27" s="56"/>
      <c r="J27" s="56"/>
      <c r="K27" s="56"/>
      <c r="L27" s="56"/>
      <c r="M27" s="56"/>
      <c r="N27" s="56"/>
      <c r="O27" s="56" t="s">
        <v>370</v>
      </c>
      <c r="P27" s="13"/>
      <c r="Q27" s="57"/>
      <c r="R27" s="58" t="s">
        <v>370</v>
      </c>
      <c r="S27" s="58"/>
      <c r="T27" s="56"/>
      <c r="U27" s="56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 ht="30" customHeight="1">
      <c r="A28" s="13">
        <f t="shared" si="3"/>
        <v>25</v>
      </c>
      <c r="B28" s="14" t="s">
        <v>389</v>
      </c>
      <c r="C28" s="14" t="s">
        <v>390</v>
      </c>
      <c r="D28" s="14" t="s">
        <v>378</v>
      </c>
      <c r="E28" s="14" t="s">
        <v>34</v>
      </c>
      <c r="F28" s="579" t="s">
        <v>35</v>
      </c>
      <c r="G28" s="29">
        <v>355687312</v>
      </c>
      <c r="H28" s="36" t="s">
        <v>11</v>
      </c>
      <c r="I28" s="56"/>
      <c r="J28" s="56"/>
      <c r="K28" s="56"/>
      <c r="L28" s="56"/>
      <c r="M28" s="56"/>
      <c r="N28" s="56"/>
      <c r="O28" s="56" t="s">
        <v>370</v>
      </c>
      <c r="P28" s="13"/>
      <c r="Q28" s="57" t="s">
        <v>370</v>
      </c>
      <c r="R28" s="58" t="s">
        <v>370</v>
      </c>
      <c r="S28" s="58"/>
      <c r="T28" s="56" t="s">
        <v>370</v>
      </c>
      <c r="U28" s="56"/>
      <c r="V28" s="13" t="s">
        <v>370</v>
      </c>
      <c r="W28" s="13"/>
      <c r="X28" s="13"/>
      <c r="Y28" s="13"/>
      <c r="Z28" s="13"/>
      <c r="AA28" s="13"/>
      <c r="AB28" s="13"/>
      <c r="AC28" s="13"/>
      <c r="AD28" s="13"/>
    </row>
    <row r="29" spans="1:30" ht="30" customHeight="1">
      <c r="A29" s="13">
        <f t="shared" si="3"/>
        <v>26</v>
      </c>
      <c r="B29" s="23" t="s">
        <v>376</v>
      </c>
      <c r="C29" s="23" t="s">
        <v>377</v>
      </c>
      <c r="D29" s="23" t="s">
        <v>378</v>
      </c>
      <c r="E29" s="38" t="s">
        <v>18</v>
      </c>
      <c r="F29" s="579" t="s">
        <v>19</v>
      </c>
      <c r="G29" s="14"/>
      <c r="H29" s="35" t="s">
        <v>11</v>
      </c>
      <c r="I29" s="84" t="s">
        <v>370</v>
      </c>
      <c r="J29" s="84"/>
      <c r="K29" s="84" t="s">
        <v>370</v>
      </c>
      <c r="L29" s="56"/>
      <c r="M29" s="56"/>
      <c r="N29" s="56"/>
      <c r="O29" s="56"/>
      <c r="P29" s="13" t="s">
        <v>370</v>
      </c>
      <c r="Q29" s="57"/>
      <c r="R29" s="58"/>
      <c r="S29" s="58"/>
      <c r="T29" s="56"/>
      <c r="U29" s="56" t="s">
        <v>370</v>
      </c>
      <c r="V29" s="13" t="s">
        <v>370</v>
      </c>
      <c r="W29" s="13"/>
      <c r="X29" s="13" t="s">
        <v>370</v>
      </c>
      <c r="Y29" s="13"/>
      <c r="Z29" s="13"/>
      <c r="AA29" s="13"/>
      <c r="AB29" s="13"/>
      <c r="AC29" s="13"/>
      <c r="AD29" s="13"/>
    </row>
    <row r="30" spans="1:30" ht="30" customHeight="1">
      <c r="A30" s="13">
        <f t="shared" si="3"/>
        <v>27</v>
      </c>
      <c r="B30" s="640" t="s">
        <v>451</v>
      </c>
      <c r="C30" s="640"/>
      <c r="D30" s="641"/>
      <c r="E30" s="640"/>
      <c r="F30" s="606"/>
      <c r="G30" s="641"/>
      <c r="H30" s="36" t="s">
        <v>11</v>
      </c>
      <c r="I30" s="83"/>
      <c r="J30" s="83"/>
      <c r="K30" s="83"/>
      <c r="L30" s="83"/>
      <c r="M30" s="84"/>
      <c r="N30" s="84"/>
      <c r="O30" s="84" t="s">
        <v>370</v>
      </c>
      <c r="P30" s="85"/>
      <c r="Q30" s="86"/>
      <c r="R30" s="58"/>
      <c r="S30" s="58"/>
      <c r="T30" s="56"/>
      <c r="U30" s="56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 ht="30" customHeight="1">
      <c r="A31" s="13">
        <f t="shared" si="3"/>
        <v>28</v>
      </c>
      <c r="B31" s="23" t="s">
        <v>401</v>
      </c>
      <c r="C31" s="23" t="s">
        <v>402</v>
      </c>
      <c r="D31" s="23" t="s">
        <v>373</v>
      </c>
      <c r="E31" s="23" t="s">
        <v>49</v>
      </c>
      <c r="F31" s="579" t="s">
        <v>50</v>
      </c>
      <c r="G31" s="23" t="s">
        <v>51</v>
      </c>
      <c r="H31" s="36" t="s">
        <v>11</v>
      </c>
      <c r="I31" s="13"/>
      <c r="J31" s="13"/>
      <c r="K31" s="13"/>
      <c r="L31" s="13"/>
      <c r="M31" s="13"/>
      <c r="N31" s="13"/>
      <c r="O31" s="84"/>
      <c r="P31" s="13"/>
      <c r="Q31" s="57" t="s">
        <v>370</v>
      </c>
      <c r="R31" s="58" t="s">
        <v>370</v>
      </c>
      <c r="S31" s="58"/>
      <c r="T31" s="56"/>
      <c r="U31" s="56"/>
      <c r="V31" s="13"/>
      <c r="W31" s="13" t="s">
        <v>370</v>
      </c>
      <c r="X31" s="13" t="s">
        <v>370</v>
      </c>
      <c r="Y31" s="13" t="s">
        <v>370</v>
      </c>
      <c r="Z31" s="13"/>
      <c r="AA31" s="13"/>
      <c r="AB31" s="13"/>
      <c r="AC31" s="13"/>
      <c r="AD31" s="13"/>
    </row>
    <row r="32" spans="1:30" ht="42">
      <c r="A32" s="13">
        <f t="shared" si="3"/>
        <v>29</v>
      </c>
      <c r="B32" s="23" t="s">
        <v>445</v>
      </c>
      <c r="C32" s="642" t="s">
        <v>446</v>
      </c>
      <c r="D32" s="23" t="s">
        <v>404</v>
      </c>
      <c r="E32" s="620" t="s">
        <v>447</v>
      </c>
      <c r="F32" s="607" t="s">
        <v>448</v>
      </c>
      <c r="G32" s="643" t="s">
        <v>449</v>
      </c>
      <c r="H32" s="14" t="s">
        <v>11</v>
      </c>
      <c r="I32" s="85"/>
      <c r="J32" s="85"/>
      <c r="K32" s="85"/>
      <c r="L32" s="85" t="s">
        <v>370</v>
      </c>
      <c r="M32" s="85" t="s">
        <v>370</v>
      </c>
      <c r="N32" s="85" t="s">
        <v>370</v>
      </c>
      <c r="O32" s="84" t="s">
        <v>370</v>
      </c>
      <c r="P32" s="85" t="s">
        <v>370</v>
      </c>
      <c r="Q32" s="86"/>
      <c r="R32" s="58" t="s">
        <v>370</v>
      </c>
      <c r="S32" s="58" t="s">
        <v>370</v>
      </c>
      <c r="T32" s="56"/>
      <c r="U32" s="56" t="s">
        <v>370</v>
      </c>
      <c r="V32" s="13"/>
      <c r="W32" s="13"/>
      <c r="X32" s="13" t="s">
        <v>370</v>
      </c>
      <c r="Y32" s="13"/>
      <c r="Z32" s="13" t="s">
        <v>370</v>
      </c>
      <c r="AA32" s="13" t="s">
        <v>370</v>
      </c>
      <c r="AB32" s="13"/>
      <c r="AC32" s="13"/>
      <c r="AD32" s="13"/>
    </row>
    <row r="33" spans="1:30" ht="30" customHeight="1">
      <c r="A33" s="13">
        <f t="shared" si="3"/>
        <v>30</v>
      </c>
      <c r="B33" s="23" t="s">
        <v>764</v>
      </c>
      <c r="C33" s="642"/>
      <c r="D33" s="23"/>
      <c r="E33" s="620"/>
      <c r="F33" s="607"/>
      <c r="G33" s="643"/>
      <c r="H33" s="14"/>
      <c r="O33" s="84"/>
      <c r="R33" s="83"/>
      <c r="S33" s="83"/>
      <c r="T33" s="84"/>
      <c r="U33" s="84"/>
      <c r="V33" s="13"/>
      <c r="W33" s="13"/>
      <c r="X33" s="13"/>
      <c r="Y33" s="13" t="s">
        <v>370</v>
      </c>
      <c r="Z33" s="13"/>
      <c r="AA33" s="13"/>
      <c r="AB33" s="13"/>
      <c r="AC33" s="13"/>
      <c r="AD33" s="13"/>
    </row>
    <row r="34" spans="1:30" ht="30" customHeight="1">
      <c r="A34" s="13">
        <f t="shared" si="3"/>
        <v>31</v>
      </c>
      <c r="B34" s="616" t="s">
        <v>381</v>
      </c>
      <c r="C34" s="616" t="s">
        <v>382</v>
      </c>
      <c r="D34" s="616" t="s">
        <v>367</v>
      </c>
      <c r="E34" s="617" t="s">
        <v>23</v>
      </c>
      <c r="F34" s="618" t="s">
        <v>24</v>
      </c>
      <c r="G34" s="619" t="s">
        <v>25</v>
      </c>
      <c r="H34" s="35" t="s">
        <v>11</v>
      </c>
      <c r="I34" s="83"/>
      <c r="J34" s="83"/>
      <c r="K34" s="83"/>
      <c r="L34" s="83"/>
      <c r="M34" s="83" t="s">
        <v>370</v>
      </c>
      <c r="N34" s="83"/>
      <c r="O34" s="83"/>
      <c r="P34" s="83"/>
      <c r="Q34" s="84" t="s">
        <v>370</v>
      </c>
      <c r="R34" s="83" t="s">
        <v>370</v>
      </c>
      <c r="S34" s="83"/>
      <c r="T34" s="84" t="s">
        <v>370</v>
      </c>
      <c r="U34" s="84" t="s">
        <v>370</v>
      </c>
      <c r="V34" s="13"/>
      <c r="W34" s="13"/>
      <c r="X34" s="13"/>
      <c r="Y34" s="13"/>
      <c r="Z34" s="13" t="s">
        <v>370</v>
      </c>
      <c r="AA34" s="13"/>
      <c r="AB34" s="13"/>
      <c r="AC34" s="13"/>
      <c r="AD34" s="13"/>
    </row>
    <row r="35" spans="1:30" ht="30" customHeight="1">
      <c r="A35" s="13">
        <f t="shared" si="3"/>
        <v>32</v>
      </c>
      <c r="B35" s="14" t="s">
        <v>421</v>
      </c>
      <c r="C35" s="14" t="s">
        <v>422</v>
      </c>
      <c r="D35" s="14" t="s">
        <v>378</v>
      </c>
      <c r="E35" s="14" t="s">
        <v>80</v>
      </c>
      <c r="F35" s="582" t="s">
        <v>81</v>
      </c>
      <c r="G35" s="30" t="s">
        <v>82</v>
      </c>
      <c r="H35" s="23" t="s">
        <v>11</v>
      </c>
      <c r="I35" s="13" t="s">
        <v>370</v>
      </c>
      <c r="J35" s="13"/>
      <c r="K35" s="13" t="s">
        <v>370</v>
      </c>
      <c r="L35" s="13" t="s">
        <v>370</v>
      </c>
      <c r="M35" s="13"/>
      <c r="N35" s="13" t="s">
        <v>370</v>
      </c>
      <c r="O35" s="13"/>
      <c r="P35" s="13"/>
      <c r="Q35" s="13"/>
      <c r="R35" s="13"/>
      <c r="S35" s="13"/>
      <c r="T35" s="13"/>
      <c r="U35" s="57"/>
      <c r="V35" s="13"/>
      <c r="W35" s="13" t="s">
        <v>370</v>
      </c>
      <c r="X35" s="13"/>
      <c r="Y35" s="13"/>
      <c r="Z35" s="13"/>
      <c r="AA35" s="13"/>
      <c r="AB35" s="13"/>
      <c r="AC35" s="13"/>
      <c r="AD35" s="13"/>
    </row>
    <row r="36" spans="1:30" ht="30" customHeight="1">
      <c r="A36" s="13">
        <f t="shared" si="3"/>
        <v>33</v>
      </c>
      <c r="B36" s="14"/>
      <c r="C36" s="14"/>
      <c r="D36" s="14"/>
      <c r="E36" s="14"/>
      <c r="F36" s="579"/>
      <c r="G36" s="14"/>
      <c r="H36" s="14" t="s">
        <v>11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57"/>
      <c r="V36" s="13"/>
      <c r="W36" s="13"/>
      <c r="X36" s="13"/>
      <c r="Y36" s="13"/>
      <c r="Z36" s="13"/>
      <c r="AA36" s="13"/>
      <c r="AB36" s="13"/>
      <c r="AC36" s="13"/>
      <c r="AD36" s="13"/>
    </row>
    <row r="37" spans="1:30" ht="30" customHeight="1">
      <c r="A37" s="13">
        <f t="shared" si="3"/>
        <v>34</v>
      </c>
      <c r="B37" s="14"/>
      <c r="C37" s="14"/>
      <c r="D37" s="14"/>
      <c r="E37" s="14"/>
      <c r="F37" s="579"/>
      <c r="G37" s="14"/>
      <c r="H37" s="14" t="s">
        <v>11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57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 ht="30" customHeight="1">
      <c r="A38" s="13">
        <f t="shared" si="3"/>
        <v>35</v>
      </c>
      <c r="B38" s="14"/>
      <c r="C38" s="14"/>
      <c r="D38" s="14"/>
      <c r="E38" s="14"/>
      <c r="F38" s="579"/>
      <c r="G38" s="14"/>
      <c r="H38" s="14" t="s">
        <v>11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57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ht="30" customHeight="1">
      <c r="A39" s="13">
        <f t="shared" si="3"/>
        <v>36</v>
      </c>
      <c r="B39" s="14"/>
      <c r="C39" s="14"/>
      <c r="D39" s="14"/>
      <c r="E39" s="14"/>
      <c r="F39" s="579"/>
      <c r="G39" s="14"/>
      <c r="H39" s="14" t="s">
        <v>11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57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>
      <c r="B40" s="47"/>
      <c r="C40" s="47"/>
      <c r="D40" s="47"/>
      <c r="E40" s="47"/>
      <c r="F40" s="47"/>
      <c r="G40" s="47"/>
      <c r="H40" s="47"/>
    </row>
    <row r="41" spans="1:30">
      <c r="B41" s="47"/>
      <c r="C41" s="47"/>
      <c r="D41" s="47"/>
      <c r="E41" s="47"/>
      <c r="F41" s="47"/>
      <c r="G41" s="47"/>
      <c r="H41" s="47"/>
      <c r="V41" s="47">
        <f>COUNTIF(V3:V39,"YES")</f>
        <v>10</v>
      </c>
      <c r="W41" s="47">
        <f t="shared" ref="W41:AD41" si="4">COUNTIF(W3:W39,"YES")</f>
        <v>8</v>
      </c>
      <c r="X41" s="47">
        <f t="shared" si="4"/>
        <v>12</v>
      </c>
      <c r="Y41" s="47">
        <f t="shared" si="4"/>
        <v>9</v>
      </c>
      <c r="Z41" s="47">
        <f t="shared" si="4"/>
        <v>11</v>
      </c>
      <c r="AA41" s="47">
        <f t="shared" si="4"/>
        <v>8</v>
      </c>
      <c r="AB41" s="47">
        <f t="shared" si="4"/>
        <v>0</v>
      </c>
      <c r="AC41" s="47">
        <f t="shared" si="4"/>
        <v>0</v>
      </c>
      <c r="AD41" s="47">
        <f t="shared" si="4"/>
        <v>0</v>
      </c>
    </row>
    <row r="42" spans="1:30">
      <c r="A42" s="47"/>
      <c r="B42" s="47"/>
      <c r="C42" s="47"/>
      <c r="D42" s="47"/>
      <c r="E42" s="47"/>
      <c r="F42" s="47"/>
      <c r="G42" s="47"/>
      <c r="H42" s="47"/>
    </row>
    <row r="43" spans="1:30">
      <c r="A43" s="47"/>
      <c r="B43" s="47"/>
      <c r="C43" s="47"/>
      <c r="D43" s="47"/>
      <c r="E43" s="47"/>
      <c r="F43" s="47"/>
      <c r="G43" s="47"/>
      <c r="H43" s="47"/>
    </row>
    <row r="44" spans="1:30">
      <c r="A44" s="47"/>
      <c r="B44" s="47"/>
      <c r="C44" s="47"/>
      <c r="D44" s="47"/>
      <c r="E44" s="47"/>
      <c r="F44" s="47"/>
      <c r="G44" s="47"/>
      <c r="H44" s="47"/>
    </row>
    <row r="45" spans="1:30">
      <c r="A45" s="47"/>
      <c r="B45" s="47"/>
      <c r="C45" s="47"/>
      <c r="D45" s="47"/>
      <c r="E45" s="47"/>
      <c r="F45" s="47"/>
      <c r="G45" s="47"/>
      <c r="H45" s="47"/>
    </row>
    <row r="46" spans="1:30">
      <c r="A46" s="47"/>
      <c r="B46" s="47"/>
      <c r="C46" s="47"/>
      <c r="D46" s="47"/>
      <c r="E46" s="47"/>
      <c r="F46" s="47"/>
      <c r="G46" s="47"/>
      <c r="H46" s="47"/>
    </row>
    <row r="47" spans="1:30">
      <c r="A47" s="47"/>
      <c r="B47" s="47"/>
      <c r="C47" s="47"/>
      <c r="D47" s="47"/>
      <c r="E47" s="47"/>
      <c r="F47" s="47"/>
      <c r="G47" s="47"/>
      <c r="H47" s="47"/>
    </row>
    <row r="48" spans="1:30">
      <c r="A48" s="47"/>
      <c r="B48" s="47"/>
      <c r="C48" s="47"/>
      <c r="D48" s="47"/>
      <c r="E48" s="47"/>
      <c r="F48" s="47"/>
      <c r="G48" s="47"/>
      <c r="H48" s="47"/>
    </row>
    <row r="49" spans="1:8">
      <c r="A49" s="47"/>
      <c r="B49" s="47"/>
      <c r="C49" s="47"/>
      <c r="D49" s="47"/>
      <c r="E49" s="47"/>
      <c r="F49" s="47"/>
      <c r="G49" s="47"/>
      <c r="H49" s="47"/>
    </row>
    <row r="50" spans="1:8">
      <c r="A50" s="47"/>
      <c r="B50" s="47"/>
      <c r="C50" s="47"/>
      <c r="D50" s="47"/>
      <c r="E50" s="47"/>
      <c r="F50" s="47"/>
      <c r="G50" s="47"/>
      <c r="H50" s="47"/>
    </row>
    <row r="51" spans="1:8">
      <c r="A51" s="47"/>
      <c r="B51" s="47"/>
      <c r="C51" s="47"/>
      <c r="D51" s="47"/>
      <c r="E51" s="47"/>
      <c r="F51" s="47"/>
      <c r="G51" s="47"/>
      <c r="H51" s="47"/>
    </row>
    <row r="52" spans="1:8">
      <c r="A52" s="47"/>
      <c r="B52" s="47"/>
      <c r="C52" s="47"/>
      <c r="D52" s="47"/>
      <c r="E52" s="47"/>
      <c r="F52" s="47"/>
      <c r="G52" s="47"/>
      <c r="H52" s="47"/>
    </row>
    <row r="53" spans="1:8">
      <c r="A53" s="47"/>
      <c r="B53" s="47"/>
      <c r="C53" s="47"/>
      <c r="D53" s="47"/>
      <c r="E53" s="47"/>
      <c r="F53" s="47"/>
      <c r="G53" s="47"/>
      <c r="H53" s="47"/>
    </row>
    <row r="54" spans="1:8">
      <c r="A54" s="47"/>
      <c r="B54" s="47"/>
      <c r="C54" s="47"/>
      <c r="D54" s="47"/>
      <c r="E54" s="47"/>
      <c r="F54" s="47"/>
      <c r="G54" s="47"/>
      <c r="H54" s="47"/>
    </row>
    <row r="55" spans="1:8">
      <c r="A55" s="47"/>
      <c r="B55" s="47"/>
      <c r="C55" s="47"/>
      <c r="D55" s="47"/>
      <c r="E55" s="47"/>
      <c r="F55" s="47"/>
      <c r="G55" s="47"/>
      <c r="H55" s="47"/>
    </row>
    <row r="56" spans="1:8">
      <c r="A56" s="47"/>
      <c r="B56" s="47"/>
      <c r="C56" s="47"/>
      <c r="D56" s="47"/>
      <c r="E56" s="47"/>
      <c r="F56" s="47"/>
      <c r="G56" s="47"/>
      <c r="H56" s="47"/>
    </row>
    <row r="57" spans="1:8">
      <c r="A57" s="47"/>
      <c r="B57" s="47"/>
      <c r="C57" s="47"/>
      <c r="D57" s="47"/>
      <c r="E57" s="47"/>
      <c r="F57" s="47"/>
      <c r="G57" s="47"/>
      <c r="H57" s="47"/>
    </row>
    <row r="58" spans="1:8">
      <c r="A58" s="47"/>
      <c r="B58" s="47"/>
      <c r="C58" s="47"/>
      <c r="D58" s="47"/>
      <c r="E58" s="47"/>
      <c r="F58" s="47"/>
      <c r="G58" s="47"/>
      <c r="H58" s="47"/>
    </row>
    <row r="59" spans="1:8">
      <c r="A59" s="47"/>
      <c r="B59" s="47"/>
      <c r="C59" s="47"/>
      <c r="D59" s="47"/>
      <c r="E59" s="47"/>
      <c r="F59" s="47"/>
      <c r="G59" s="47"/>
      <c r="H59" s="47"/>
    </row>
    <row r="60" spans="1:8">
      <c r="A60" s="47"/>
      <c r="B60" s="47"/>
      <c r="C60" s="47"/>
      <c r="D60" s="47"/>
      <c r="E60" s="47"/>
      <c r="F60" s="47"/>
      <c r="G60" s="47"/>
      <c r="H60" s="47"/>
    </row>
    <row r="61" spans="1:8">
      <c r="A61" s="47"/>
      <c r="B61" s="47"/>
      <c r="C61" s="47"/>
      <c r="D61" s="47"/>
      <c r="E61" s="47"/>
      <c r="F61" s="47"/>
      <c r="G61" s="47"/>
      <c r="H61" s="47"/>
    </row>
    <row r="62" spans="1:8">
      <c r="A62" s="47"/>
      <c r="B62" s="47"/>
      <c r="C62" s="47"/>
      <c r="D62" s="47"/>
      <c r="E62" s="47"/>
      <c r="F62" s="47"/>
      <c r="G62" s="47"/>
      <c r="H62" s="47"/>
    </row>
    <row r="63" spans="1:8">
      <c r="A63" s="47"/>
      <c r="B63" s="47"/>
      <c r="C63" s="47"/>
      <c r="D63" s="47"/>
      <c r="E63" s="47"/>
      <c r="F63" s="47"/>
      <c r="G63" s="47"/>
      <c r="H63" s="47"/>
    </row>
    <row r="64" spans="1:8">
      <c r="A64" s="47"/>
      <c r="B64" s="47"/>
      <c r="C64" s="47"/>
      <c r="D64" s="47"/>
      <c r="E64" s="47"/>
      <c r="F64" s="47"/>
      <c r="G64" s="47"/>
      <c r="H64" s="47"/>
    </row>
    <row r="65" spans="1:8">
      <c r="A65" s="47"/>
      <c r="B65" s="47"/>
      <c r="C65" s="47"/>
      <c r="D65" s="47"/>
      <c r="E65" s="47"/>
      <c r="F65" s="47"/>
      <c r="G65" s="47"/>
      <c r="H65" s="47"/>
    </row>
    <row r="66" spans="1:8">
      <c r="A66" s="47"/>
      <c r="B66" s="47"/>
      <c r="C66" s="47"/>
      <c r="D66" s="47"/>
      <c r="E66" s="47"/>
      <c r="F66" s="47"/>
      <c r="G66" s="47"/>
      <c r="H66" s="47"/>
    </row>
    <row r="67" spans="1:8">
      <c r="A67" s="47"/>
      <c r="B67" s="47"/>
      <c r="C67" s="47"/>
      <c r="D67" s="47"/>
      <c r="E67" s="47"/>
      <c r="F67" s="47"/>
      <c r="G67" s="47"/>
      <c r="H67" s="47"/>
    </row>
    <row r="68" spans="1:8">
      <c r="A68" s="47"/>
      <c r="B68" s="47"/>
      <c r="C68" s="47"/>
      <c r="D68" s="47"/>
      <c r="E68" s="47"/>
      <c r="F68" s="47"/>
      <c r="G68" s="47"/>
      <c r="H68" s="47"/>
    </row>
    <row r="69" spans="1:8">
      <c r="A69" s="47"/>
      <c r="B69" s="47"/>
      <c r="C69" s="47"/>
      <c r="D69" s="47"/>
      <c r="E69" s="47"/>
      <c r="F69" s="47"/>
      <c r="G69" s="47"/>
      <c r="H69" s="47"/>
    </row>
    <row r="70" spans="1:8">
      <c r="A70" s="47"/>
      <c r="B70" s="47"/>
      <c r="C70" s="47"/>
      <c r="D70" s="47"/>
      <c r="E70" s="47"/>
      <c r="F70" s="47"/>
      <c r="G70" s="47"/>
      <c r="H70" s="47"/>
    </row>
    <row r="71" spans="1:8">
      <c r="A71" s="47"/>
      <c r="B71" s="47"/>
      <c r="C71" s="47"/>
      <c r="D71" s="47"/>
      <c r="E71" s="47"/>
      <c r="F71" s="47"/>
      <c r="G71" s="47"/>
      <c r="H71" s="47"/>
    </row>
    <row r="72" spans="1:8">
      <c r="A72" s="47"/>
      <c r="B72" s="47"/>
      <c r="C72" s="47"/>
      <c r="D72" s="47"/>
      <c r="E72" s="47"/>
      <c r="F72" s="47"/>
      <c r="G72" s="47"/>
      <c r="H72" s="47"/>
    </row>
    <row r="73" spans="1:8">
      <c r="A73" s="47"/>
      <c r="B73" s="47"/>
      <c r="C73" s="47"/>
      <c r="D73" s="47"/>
      <c r="E73" s="47"/>
      <c r="F73" s="47"/>
      <c r="G73" s="47"/>
      <c r="H73" s="47"/>
    </row>
    <row r="74" spans="1:8">
      <c r="A74" s="47"/>
      <c r="B74" s="47"/>
      <c r="C74" s="47"/>
      <c r="D74" s="47"/>
      <c r="E74" s="47"/>
      <c r="F74" s="47"/>
      <c r="G74" s="47"/>
      <c r="H74" s="47"/>
    </row>
    <row r="75" spans="1:8">
      <c r="A75" s="47"/>
      <c r="B75" s="47"/>
      <c r="C75" s="47"/>
      <c r="D75" s="47"/>
      <c r="E75" s="47"/>
      <c r="F75" s="47"/>
      <c r="G75" s="47"/>
      <c r="H75" s="47"/>
    </row>
    <row r="76" spans="1:8">
      <c r="A76" s="47"/>
      <c r="B76" s="47"/>
      <c r="C76" s="47"/>
      <c r="D76" s="47"/>
      <c r="E76" s="47"/>
      <c r="F76" s="47"/>
      <c r="G76" s="47"/>
      <c r="H76" s="47"/>
    </row>
    <row r="77" spans="1:8">
      <c r="A77" s="47"/>
      <c r="B77" s="47"/>
      <c r="C77" s="47"/>
      <c r="D77" s="47"/>
      <c r="E77" s="47"/>
      <c r="F77" s="47"/>
      <c r="G77" s="47"/>
      <c r="H77" s="47"/>
    </row>
    <row r="78" spans="1:8">
      <c r="A78" s="47"/>
      <c r="B78" s="47"/>
      <c r="C78" s="47"/>
      <c r="D78" s="47"/>
      <c r="E78" s="47"/>
      <c r="F78" s="47"/>
      <c r="G78" s="47"/>
      <c r="H78" s="47"/>
    </row>
    <row r="79" spans="1:8">
      <c r="A79" s="47"/>
      <c r="B79" s="47"/>
      <c r="C79" s="47"/>
      <c r="D79" s="47"/>
      <c r="E79" s="47"/>
      <c r="F79" s="47"/>
      <c r="G79" s="47"/>
      <c r="H79" s="47"/>
    </row>
    <row r="80" spans="1:8">
      <c r="A80" s="47"/>
      <c r="B80" s="47"/>
      <c r="C80" s="47"/>
      <c r="D80" s="47"/>
      <c r="E80" s="47"/>
      <c r="F80" s="47"/>
      <c r="G80" s="47"/>
      <c r="H80" s="47"/>
    </row>
    <row r="81" spans="1:8">
      <c r="A81" s="47"/>
      <c r="B81" s="47"/>
      <c r="C81" s="47"/>
      <c r="D81" s="47"/>
      <c r="E81" s="47"/>
      <c r="F81" s="47"/>
      <c r="G81" s="47"/>
      <c r="H81" s="47"/>
    </row>
    <row r="82" spans="1:8">
      <c r="A82" s="47"/>
      <c r="B82" s="47"/>
      <c r="C82" s="47"/>
      <c r="D82" s="47"/>
      <c r="E82" s="47"/>
      <c r="F82" s="47"/>
      <c r="G82" s="47"/>
      <c r="H82" s="47"/>
    </row>
    <row r="83" spans="1:8">
      <c r="A83" s="47"/>
      <c r="B83" s="47"/>
      <c r="C83" s="47"/>
      <c r="D83" s="47"/>
      <c r="E83" s="47"/>
      <c r="F83" s="47"/>
      <c r="G83" s="47"/>
      <c r="H83" s="47"/>
    </row>
    <row r="84" spans="1:8">
      <c r="A84" s="47"/>
      <c r="B84" s="47"/>
      <c r="C84" s="47"/>
      <c r="D84" s="47"/>
      <c r="E84" s="47"/>
      <c r="F84" s="47"/>
      <c r="G84" s="47"/>
      <c r="H84" s="47"/>
    </row>
    <row r="85" spans="1:8">
      <c r="A85" s="47"/>
      <c r="B85" s="47"/>
      <c r="C85" s="47"/>
      <c r="D85" s="47"/>
      <c r="E85" s="47"/>
      <c r="F85" s="47"/>
      <c r="G85" s="47"/>
      <c r="H85" s="47"/>
    </row>
    <row r="86" spans="1:8">
      <c r="A86" s="47"/>
      <c r="B86" s="47"/>
      <c r="C86" s="47"/>
      <c r="D86" s="47"/>
      <c r="E86" s="47"/>
      <c r="F86" s="47"/>
      <c r="G86" s="47"/>
      <c r="H86" s="47"/>
    </row>
    <row r="87" spans="1:8">
      <c r="A87" s="47"/>
      <c r="B87" s="47"/>
      <c r="C87" s="47"/>
      <c r="D87" s="47"/>
      <c r="E87" s="47"/>
      <c r="F87" s="47"/>
      <c r="G87" s="47"/>
      <c r="H87" s="47"/>
    </row>
    <row r="88" spans="1:8">
      <c r="A88" s="47"/>
      <c r="B88" s="47"/>
      <c r="C88" s="47"/>
      <c r="D88" s="47"/>
      <c r="E88" s="47"/>
      <c r="F88" s="47"/>
      <c r="G88" s="47"/>
      <c r="H88" s="47"/>
    </row>
    <row r="89" spans="1:8">
      <c r="A89" s="47"/>
      <c r="B89" s="47"/>
      <c r="C89" s="47"/>
      <c r="D89" s="47"/>
      <c r="E89" s="47"/>
      <c r="F89" s="47"/>
      <c r="G89" s="47"/>
      <c r="H89" s="47"/>
    </row>
    <row r="90" spans="1:8">
      <c r="A90" s="47"/>
      <c r="B90" s="47"/>
      <c r="C90" s="47"/>
      <c r="D90" s="47"/>
      <c r="E90" s="47"/>
      <c r="F90" s="47"/>
      <c r="G90" s="47"/>
      <c r="H90" s="47"/>
    </row>
    <row r="91" spans="1:8">
      <c r="A91" s="47"/>
      <c r="B91" s="47"/>
      <c r="C91" s="47"/>
      <c r="D91" s="47"/>
      <c r="E91" s="47"/>
      <c r="F91" s="47"/>
      <c r="G91" s="47"/>
      <c r="H91" s="47"/>
    </row>
    <row r="92" spans="1:8">
      <c r="A92" s="47"/>
      <c r="B92" s="47"/>
      <c r="C92" s="47"/>
      <c r="D92" s="47"/>
      <c r="E92" s="47"/>
      <c r="F92" s="47"/>
      <c r="G92" s="47"/>
      <c r="H92" s="47"/>
    </row>
    <row r="93" spans="1:8">
      <c r="A93" s="47"/>
      <c r="B93" s="47"/>
      <c r="C93" s="47"/>
      <c r="D93" s="47"/>
      <c r="E93" s="47"/>
      <c r="F93" s="47"/>
      <c r="G93" s="47"/>
      <c r="H93" s="47"/>
    </row>
    <row r="94" spans="1:8">
      <c r="A94" s="47"/>
      <c r="B94" s="47"/>
      <c r="C94" s="47"/>
      <c r="D94" s="47"/>
      <c r="E94" s="47"/>
      <c r="F94" s="47"/>
      <c r="G94" s="47"/>
      <c r="H94" s="47"/>
    </row>
    <row r="95" spans="1:8">
      <c r="A95" s="47"/>
      <c r="B95" s="47"/>
      <c r="C95" s="47"/>
      <c r="D95" s="47"/>
      <c r="E95" s="47"/>
      <c r="F95" s="47"/>
      <c r="G95" s="47"/>
      <c r="H95" s="47"/>
    </row>
    <row r="96" spans="1:8">
      <c r="A96" s="47"/>
      <c r="B96" s="47"/>
      <c r="C96" s="47"/>
      <c r="D96" s="47"/>
      <c r="E96" s="47"/>
      <c r="F96" s="47"/>
      <c r="G96" s="47"/>
      <c r="H96" s="47"/>
    </row>
    <row r="97" spans="1:8">
      <c r="A97" s="47"/>
      <c r="B97" s="47"/>
      <c r="C97" s="47"/>
      <c r="D97" s="47"/>
      <c r="E97" s="47"/>
      <c r="F97" s="47"/>
      <c r="G97" s="47"/>
      <c r="H97" s="47"/>
    </row>
    <row r="98" spans="1:8">
      <c r="A98" s="47"/>
      <c r="B98" s="47"/>
      <c r="C98" s="47"/>
      <c r="D98" s="47"/>
      <c r="E98" s="47"/>
      <c r="F98" s="47"/>
      <c r="G98" s="47"/>
      <c r="H98" s="47"/>
    </row>
    <row r="99" spans="1:8">
      <c r="A99" s="47"/>
      <c r="B99" s="47"/>
      <c r="C99" s="47"/>
      <c r="D99" s="47"/>
      <c r="E99" s="47"/>
      <c r="F99" s="47"/>
      <c r="G99" s="47"/>
      <c r="H99" s="47"/>
    </row>
    <row r="100" spans="1:8">
      <c r="A100" s="47"/>
      <c r="B100" s="47"/>
      <c r="C100" s="47"/>
      <c r="D100" s="47"/>
      <c r="E100" s="47"/>
      <c r="F100" s="47"/>
      <c r="G100" s="47"/>
      <c r="H100" s="47"/>
    </row>
    <row r="101" spans="1:8">
      <c r="A101" s="47"/>
      <c r="B101" s="47"/>
      <c r="C101" s="47"/>
      <c r="D101" s="47"/>
      <c r="E101" s="47"/>
      <c r="F101" s="47"/>
      <c r="G101" s="47"/>
      <c r="H101" s="47"/>
    </row>
    <row r="102" spans="1:8">
      <c r="A102" s="590"/>
      <c r="B102" s="590"/>
      <c r="C102" s="590"/>
      <c r="D102" s="590"/>
      <c r="E102" s="590"/>
      <c r="F102" s="590"/>
      <c r="G102" s="590"/>
      <c r="H102" s="590"/>
    </row>
  </sheetData>
  <sortState xmlns:xlrd2="http://schemas.microsoft.com/office/spreadsheetml/2017/richdata2" ref="B3:U39">
    <sortCondition ref="B3:B39"/>
  </sortState>
  <mergeCells count="1">
    <mergeCell ref="A1:H1"/>
  </mergeCells>
  <dataValidations count="1">
    <dataValidation allowBlank="1" showInputMessage="1" showErrorMessage="1" sqref="H7:H10 B2:H6 B7:B25 B27:B1048576" xr:uid="{00000000-0002-0000-0900-000000000000}"/>
  </dataValidations>
  <pageMargins left="0.2" right="0.2" top="0.75" bottom="0.75" header="0.3" footer="0.3"/>
  <pageSetup paperSize="9" scale="41" fitToHeight="2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Hw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JFl+WHgEAADECAAATAAAARm9ybXVsYXMvU2VjdGlvbjEubZXQUWvCMBAH8PeC3+GILy3E0up0MulT3WAMBGf3tI5Rm5uGtRdJUjcnfncjZYzB+rC8JPc7yOUfg6WVimDV7vHM88y20Cigzx6k+Fo2aCwMYKH2WK9RQxyBK9Mtlu+DezLwiDulLfhxwCCBCm3PA7dWqtElOknNPpyrsqmRrH8nKwxTRdYVxmfpTf5kUJu8ELWkVxoKMZoe8rn6oEoVwuT/fEFYmj0L+PMcK1lLizphnHFIVdXUZJIph1sqlZC0SSbjKIo5LBtlcWUPFSY/x3ChCF8C3ibps3Rb0Mb9SHbY4SVkVqxdjEwXZN6UrtvrL03jt7H58chajd146zpg8dOeOHz7sMNHHX7V4eMOn3T4dYdPf/kp6HmS/ow/OwN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GoCAABbQ29udGVudF9UeXBlc10ueG1sUEsBAhQACgAAAAAAh07iQAAAAAAAAAAAAAAAAAcAAAAAAAAAAAAQAAAAAAAAAENvbmZpZy9QSwECFAAUAAAACACHTuJAEjj+mJ8AAADzAAAAEgAAAAAAAAABACAAAAAlAAAAQ29uZmlnL1BhY2thZ2UueG1sUEsBAhQACgAAAAAAh07iQAAAAAAAAAAAAAAAAAkAAAAAAAAAAAAQAAAA9AAAAEZvcm11bGFzL1BLAQIUABQAAAAIAIdO4kCJFl+WHgEAADECAAATAAAAAAAAAAEAIAAAABsBAABGb3JtdWxhcy9TZWN0aW9uMS5tUEsFBgAAAAAFAAUALgEAADg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66BAAAAAAAAJg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0tpZHpRdWVzdCUyMC0lMjBOb3ZlbWJlciUyMDEwJTIwJTIwLSUyMENoZWNrLUlucyUyMFJlcG9ydCUyMCUyODElMjk8L0l0ZW1QYXRoPjwvSXRlbUxvY2F0aW9uPjxTdGFibGVFbnRyaWVzPjxFbnRyeSBUeXBlPSJJc1ByaXZhdGUiIFZhbHVlPSJsMCIgLz48RW50cnkgVHlwZT0iRmlsbEVuYWJsZWQiIFZhbHVlPSJsMSIgLz48RW50cnkgVHlwZT0iRmlsbE9iamVjdFR5cGUiIFZhbHVlPSJzVGFibGUiIC8+PEVudHJ5IFR5cGU9IlF1ZXJ5SUQiIFZhbHVlPSJzNmRhMzY4NDAtZGMzNC00OGQ3LTkyNGItMTczZmRiMTg2MDc3IiAvPjxFbnRyeSBUeXBlPSJSZXN1bHRUeXBlIiBWYWx1ZT0ic1RhYmxlIiAvPjxFbnRyeSBUeXBlPSJGaWxsVGFyZ2V0IiBWYWx1ZT0ic0tpZHpRdWVzdF9fX05vdmVtYmVyXzEwX19fX0NoZWNrX0luc19SZXBvcnRfXzEiIC8+PEVudHJ5IFR5cGU9IkZpbGxDb3VudCIgVmFsdWU9ImwwIiAvPjxFbnRyeSBUeXBlPSJGaWxsRXJyb3JDb3VudCIgVmFsdWU9ImwwIiAvPjxFbnRyeSBUeXBlPSJGaWxsTGFzdFVwZGF0ZWQiIFZhbHVlPSJkMjAyNS0wMy0wMlQwMToyMDoxNy45ODcwMDAwWiIgLz48RW50cnkgVHlwZT0iRmlsbENvbHVtbk5hbWVzIiBWYWx1ZT0nc1smcXVvdDtDb2x1bW4xJnF1b3Q7LCZxdW90O0NvbHVtbjImcXVvdDssJnF1b3Q7Q29sdW1uMyZxdW90OywmcXVvdDtDb2x1bW40JnF1b3Q7LCZxdW90O0NvbHVtbjUmcXVvdDssJnF1b3Q7Q29sdW1uNiZxdW90OywmcXVvdDtDb2x1bW43JnF1b3Q7LCZxdW90O0NvbHVtbjgmcXVvdDtdJyAvPjwvU3RhYmxlRW50cmllcz48L0l0ZW0+PC9JdGVtcz48L0xvY2FsUGFja2FnZU1ldGFkYXRhRmlsZT4WAAAAUEsFBgAAAAAAAAAAAAAAAAAAAAAAACYBAAABAAAA0Iyd3wEV0RGMegDAT8KX6wEAAABUpc/MsnAvS55kuVVwETSUAAAAAAIAAAAAABBmAAAAAQAAIAAAAKkfJitpwZS66w6h+11ysVzWk2YDbNFMaiH5wuPtDkBhAAAAAA6AAAAAAgAAIAAAANUpampUuYMKyI8umliwTKo5e1c4/cYko+yVqMYzbzChUAAAABjnBJPuYphf+AUt6zhfRbjZ4ajQG4zcizOF8Uda+r1Mc/wh9Rw8E9QyVZLcxfG8O+JQTL1cEJrHPxH52UeUcq8wtyj0UT2b6mLztUVdA2e8QAAAAE/4momduvG1b25T72jQsOOraS/ThTzVMdc4TAUrMCk80BjeXxfbo4YK1v9ODI8to4te7g+3XvZJjLhklS+iFJ4=</DataMashup>
</file>

<file path=customXml/itemProps1.xml><?xml version="1.0" encoding="utf-8"?>
<ds:datastoreItem xmlns:ds="http://schemas.openxmlformats.org/officeDocument/2006/customXml" ds:itemID="{4A9DDC76-2306-4241-898F-61DE2726D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Parents contact</vt:lpstr>
      <vt:lpstr>Explorers</vt:lpstr>
      <vt:lpstr>Voyagers</vt:lpstr>
      <vt:lpstr>Trailblazers</vt:lpstr>
      <vt:lpstr>Pathfinders</vt:lpstr>
      <vt:lpstr>Parents-Active</vt:lpstr>
      <vt:lpstr>Active-Path</vt:lpstr>
      <vt:lpstr>Active-Trail</vt:lpstr>
      <vt:lpstr>Active-Voya</vt:lpstr>
      <vt:lpstr>Active-Expl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ADMIN-ASSISTANT HIF</dc:creator>
  <cp:lastModifiedBy>Media HIF</cp:lastModifiedBy>
  <cp:lastPrinted>2026-09-09T07:05:56Z</cp:lastPrinted>
  <dcterms:created xsi:type="dcterms:W3CDTF">2024-11-15T07:40:00Z</dcterms:created>
  <dcterms:modified xsi:type="dcterms:W3CDTF">2026-09-09T08:06:28Z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D86F605A5F504C03B9D1D3FB3CCB2E30_12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